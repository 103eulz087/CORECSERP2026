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ending Items" sheetId="1" r:id="rId1"/>
    <sheet name="Bank Accounts" sheetId="2" r:id="rId2"/>
  </sheets>
  <definedNames>
    <definedName name="_xlnm.Print_Titles" localSheetId="0">'Pending Items'!$5:$5</definedName>
    <definedName name="_xlnm.Print_Titles" localSheetId="1">'Bank Accounts'!$4:$4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(#,##0.00);\-"/>
  </numFmts>
  <fonts count="6"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i/>
      <sz val="10"/>
      <color rgb="FF767676"/>
      <name val="Arial"/>
      <family val="2"/>
    </font>
    <font>
      <sz val="9"/>
      <color rgb="FF59595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F8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3" fillId="5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164" fontId="0" fillId="0" borderId="1" xfId="0" applyNumberFormat="1" applyBorder="1" applyAlignment="1">
      <alignment horizontal="right" vertical="top"/>
    </xf>
    <xf numFmtId="0" fontId="0" fillId="3" borderId="1" xfId="0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164" fontId="4" fillId="4" borderId="1" xfId="0" applyNumberFormat="1" applyFont="1" applyFill="1" applyBorder="1" applyAlignment="1">
      <alignment horizontal="right" vertical="top"/>
    </xf>
    <xf numFmtId="0" fontId="4" fillId="4" borderId="1" xfId="0" applyFont="1" applyFill="1" applyBorder="1" applyAlignment="1">
      <alignment horizontal="center" vertical="top" wrapText="1"/>
    </xf>
    <xf numFmtId="0" fontId="5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tabSelected="1">
      <pane ySplit="5" topLeftCell="A6" activePane="bottomLeft" state="frozen"/>
      <selection pane="bottomLeft"/>
    </sheetView>
  </sheetViews>
  <sheetFormatPr defaultRowHeight="12.75"/>
  <cols>
    <col min="1" max="1" width="5" customWidth="1"/>
    <col min="2" max="2" width="22" customWidth="1"/>
    <col min="3" max="3" width="20" customWidth="1"/>
    <col min="4" max="4" width="56" customWidth="1"/>
    <col min="5" max="5" width="46" customWidth="1"/>
    <col min="6" max="6" width="15" customWidth="1"/>
    <col min="7" max="7" width="24" customWidth="1"/>
    <col min="8" max="8" width="42" customWidth="1"/>
  </cols>
  <sheetData>
    <row r="1">
      <c r="A1" s="1" t="inlineStr">
        <is>
          <t xml:space="preserve">Bank Reconciliation: items we need from Accounting</t>
        </is>
      </c>
    </row>
    <row r="2">
      <c r="A2" s="13" t="inlineStr">
        <is>
          <t xml:space="preserve">As of 13-Oct-2026. Figures from the CORECS system (STAGING, the copy of production). The "Bank Accounts" tab has every account's July 31 and August 31 status.</t>
        </is>
      </c>
    </row>
    <row r="3">
      <c r="A3" s="2" t="inlineStr">
        <is>
          <t xml:space="preserve">Please answer in the yellow column H ("Your answer"). Row 6 is an example of the kind of answer we need.</t>
        </is>
      </c>
    </row>
    <row r="5">
      <c r="A5" s="3" t="inlineStr">
        <is>
          <t xml:space="preserve">No.</t>
        </is>
      </c>
      <c r="B5" s="3" t="inlineStr">
        <is>
          <t xml:space="preserve">Account</t>
        </is>
      </c>
      <c r="C5" s="3" t="inlineStr">
        <is>
          <t xml:space="preserve">Topic</t>
        </is>
      </c>
      <c r="D5" s="3" t="inlineStr">
        <is>
          <t xml:space="preserve">What we found</t>
        </is>
      </c>
      <c r="E5" s="3" t="inlineStr">
        <is>
          <t xml:space="preserve">What we need from you</t>
        </is>
      </c>
      <c r="F5" s="4" t="inlineStr">
        <is>
          <t xml:space="preserve">Amount (PHP)</t>
        </is>
      </c>
      <c r="G5" s="3" t="inlineStr">
        <is>
          <t xml:space="preserve">Reference</t>
        </is>
      </c>
      <c r="H5" s="5" t="inlineStr">
        <is>
          <t xml:space="preserve">Your answer</t>
        </is>
      </c>
    </row>
    <row r="6">
      <c r="A6" s="12" t="inlineStr">
        <is>
          <t xml:space="preserve">e.g.</t>
        </is>
      </c>
      <c r="B6" s="10" t="inlineStr">
        <is>
          <t xml:space="preserve">101020102 BDO PESO 2</t>
        </is>
      </c>
      <c r="C6" s="10" t="inlineStr">
        <is>
          <t xml:space="preserve">Cheque not in our books</t>
        </is>
      </c>
      <c r="D6" s="10" t="inlineStr">
        <is>
          <t xml:space="preserve">(example row)</t>
        </is>
      </c>
      <c r="E6" s="10" t="inlineStr">
        <is>
          <t xml:space="preserve">(example row)</t>
        </is>
      </c>
      <c r="F6" s="11">
        <v>15898.47</v>
      </c>
      <c r="G6" s="10" t="inlineStr">
        <is>
          <t xml:space="preserve">X2607-067 / BDO2246143</t>
        </is>
      </c>
      <c r="H6" s="10" t="inlineStr">
        <is>
          <t xml:space="preserve">Issued 31-Jul-2026, cleared 05-Aug. Please book it.</t>
        </is>
      </c>
    </row>
    <row r="7">
      <c r="A7" s="7">
        <v>1</v>
      </c>
      <c r="B7" s="6" t="inlineStr">
        <is>
          <t xml:space="preserve">101020102 BDO PESO 2</t>
        </is>
      </c>
      <c r="C7" s="6" t="inlineStr">
        <is>
          <t xml:space="preserve">July 31 difference</t>
        </is>
      </c>
      <c r="D7" s="6" t="inlineStr">
        <is>
          <t xml:space="preserve">Peachtree's own July 31 reconciliation leaves this amount unreconciled (book is above bank). We loaded the list as sent, so our July 31 shows the same difference.</t>
        </is>
      </c>
      <c r="E7" s="6" t="inlineStr">
        <is>
          <t xml:space="preserve">The entries or items that explain it, so July 31 reconciles to 0.00.</t>
        </is>
      </c>
      <c r="F7" s="8">
        <f>-'Bank Accounts'!H6</f>
        <v>1978452.67</v>
      </c>
      <c r="G7" s="6" t="inlineStr">
        <is>
          <t xml:space="preserve">Peachtree July recon (1st file), sheet BDO PESO 2</t>
        </is>
      </c>
      <c r="H7" s="9" t="inlineStr">
        <is>
          <t xml:space="preserve"/>
        </is>
      </c>
    </row>
    <row r="8">
      <c r="A8" s="7">
        <v>2</v>
      </c>
      <c r="B8" s="6" t="inlineStr">
        <is>
          <t xml:space="preserve">101020102 BDO PESO 2</t>
        </is>
      </c>
      <c r="C8" s="6" t="inlineStr">
        <is>
          <t xml:space="preserve">Cheque not in our books</t>
        </is>
      </c>
      <c r="D8" s="6" t="inlineStr">
        <is>
          <t xml:space="preserve">Outstanding cheque X2607-067 dated 31-Jul-2026 is on the Peachtree list, but our opening balance does not include it: our July 31 GL is exactly this much above the sheet. It was left out of the balance forward.</t>
        </is>
      </c>
      <c r="E8" s="6" t="inlineStr">
        <is>
          <t xml:space="preserve">Was the cheque issued? If yes, we book it with a Manual JV (credit the bank) and it becomes an outstanding cheque. If not, no action.</t>
        </is>
      </c>
      <c r="F8" s="8">
        <v>15898.47</v>
      </c>
      <c r="G8" s="6" t="inlineStr">
        <is>
          <t xml:space="preserve">X2607-067 / BDO2246143 (amount from the Peachtree BDO PESO 2 sheet)</t>
        </is>
      </c>
      <c r="H8" s="9" t="inlineStr">
        <is>
          <t xml:space="preserve"/>
        </is>
      </c>
    </row>
    <row r="9">
      <c r="A9" s="7">
        <v>3</v>
      </c>
      <c r="B9" s="6" t="inlineStr">
        <is>
          <t xml:space="preserve">101020104 WEALTHBANK</t>
        </is>
      </c>
      <c r="C9" s="6" t="inlineStr">
        <is>
          <t xml:space="preserve">July 31 difference</t>
        </is>
      </c>
      <c r="D9" s="6" t="inlineStr">
        <is>
          <t xml:space="preserve">Both Peachtree files leave this amount unreconciled at July 31 (book above bank). No deposits in transit or outstanding cheques are listed.</t>
        </is>
      </c>
      <c r="E9" s="6" t="inlineStr">
        <is>
          <t xml:space="preserve">The entries or items that explain it.</t>
        </is>
      </c>
      <c r="F9" s="8">
        <f>-'Bank Accounts'!H8</f>
        <v>1000050</v>
      </c>
      <c r="G9" s="6" t="inlineStr">
        <is>
          <t xml:space="preserve">Peachtree July recon, sheet WEALTHBANK</t>
        </is>
      </c>
      <c r="H9" s="9" t="inlineStr">
        <is>
          <t xml:space="preserve"/>
        </is>
      </c>
    </row>
    <row r="10">
      <c r="A10" s="7">
        <v>4</v>
      </c>
      <c r="B10" s="6" t="inlineStr">
        <is>
          <t xml:space="preserve">101020105 UNION PESO 1</t>
        </is>
      </c>
      <c r="C10" s="6" t="inlineStr">
        <is>
          <t xml:space="preserve">No July list</t>
        </is>
      </c>
      <c r="D10" s="6" t="inlineStr">
        <is>
          <t xml:space="preserve">GL balance at July 31 (amount). No Peachtree reconciliation received; its July 31 recon period has no statement balance.</t>
        </is>
      </c>
      <c r="E10" s="6" t="inlineStr">
        <is>
          <t xml:space="preserve">July 31 reconciliation: bank statement balance, outstanding cheques, deposits in transit.</t>
        </is>
      </c>
      <c r="F10" s="8">
        <f>'Bank Accounts'!C9</f>
        <v>2000000</v>
      </c>
      <c r="G10" s="6" t="inlineStr">
        <is>
          <t xml:space="preserve">Bank Accounts tab</t>
        </is>
      </c>
      <c r="H10" s="9" t="inlineStr">
        <is>
          <t xml:space="preserve"/>
        </is>
      </c>
    </row>
    <row r="11">
      <c r="A11" s="7">
        <v>5</v>
      </c>
      <c r="B11" s="6" t="inlineStr">
        <is>
          <t xml:space="preserve">101020103 EASTWEST</t>
        </is>
      </c>
      <c r="C11" s="6" t="inlineStr">
        <is>
          <t xml:space="preserve">No July list</t>
        </is>
      </c>
      <c r="D11" s="6" t="inlineStr">
        <is>
          <t xml:space="preserve">GL balance at July 31 (amount). No Peachtree reconciliation received.</t>
        </is>
      </c>
      <c r="E11" s="6" t="inlineStr">
        <is>
          <t xml:space="preserve">July 31 reconciliation: bank statement balance, outstanding cheques, deposits in transit.</t>
        </is>
      </c>
      <c r="F11" s="8">
        <f>'Bank Accounts'!C7</f>
        <v>83846.36</v>
      </c>
      <c r="G11" s="6" t="inlineStr">
        <is>
          <t xml:space="preserve">Bank Accounts tab</t>
        </is>
      </c>
      <c r="H11" s="9" t="inlineStr">
        <is>
          <t xml:space="preserve"/>
        </is>
      </c>
    </row>
    <row r="12">
      <c r="A12" s="7">
        <v>6</v>
      </c>
      <c r="B12" s="6" t="inlineStr">
        <is>
          <t xml:space="preserve">USD / EUR accounts (8)</t>
        </is>
      </c>
      <c r="C12" s="6" t="inlineStr">
        <is>
          <t xml:space="preserve">No July list + statement rule</t>
        </is>
      </c>
      <c r="D12" s="6" t="inlineStr">
        <is>
          <t xml:space="preserve">MBTC USD 1/2, MBTC EURO 1/2, PNB USD 1/2, PNB EURO 1/2: no Peachtree reconciliation received (amount = their GL total at July 31, in pesos). Our GL is in pesos; the statements are in USD / EUR.</t>
        </is>
      </c>
      <c r="E12" s="6" t="inlineStr">
        <is>
          <t xml:space="preserve">July 31 reconciliations of the 8 accounts, and which figure to enter as the statement balance (the peso equivalent at which rate?).</t>
        </is>
      </c>
      <c r="F12" s="8">
        <f>SUM('Bank Accounts'!C17:C24)</f>
        <v>672701.72</v>
      </c>
      <c r="G12" s="6" t="inlineStr">
        <is>
          <t xml:space="preserve">Bank Accounts tab</t>
        </is>
      </c>
      <c r="H12" s="9" t="inlineStr">
        <is>
          <t xml:space="preserve"/>
        </is>
      </c>
    </row>
    <row r="13">
      <c r="A13" s="7">
        <v>7</v>
      </c>
      <c r="B13" s="6" t="inlineStr">
        <is>
          <t xml:space="preserve">101020111 PNB PESO</t>
        </is>
      </c>
      <c r="C13" s="6" t="inlineStr">
        <is>
          <t xml:space="preserve">Collection date</t>
        </is>
      </c>
      <c r="D13" s="6" t="inlineStr">
        <is>
          <t xml:space="preserve">AR collection ref 31459 (LEOPAR, RODITO) is dated 24-Jul-2026 in our system, but its control no. F2608-24-A reads as 24-Aug. It is why our July 31 GL is 275.00 above Peachtree's (July still reconciles: it is an open deposit item).</t>
        </is>
      </c>
      <c r="E13" s="6" t="inlineStr">
        <is>
          <t xml:space="preserve">The correct date. If it is 24-Aug, we correct it so July matches Peachtree exactly.</t>
        </is>
      </c>
      <c r="F13" s="8">
        <v>275</v>
      </c>
      <c r="G13" s="6" t="inlineStr">
        <is>
          <t xml:space="preserve">Ref 31459 / control F2608-24-A</t>
        </is>
      </c>
      <c r="H13" s="9" t="inlineStr">
        <is>
          <t xml:space="preserve"/>
        </is>
      </c>
    </row>
    <row r="14">
      <c r="A14" s="7">
        <v>8</v>
      </c>
      <c r="B14" s="6" t="inlineStr">
        <is>
          <t xml:space="preserve">Several accounts</t>
        </is>
      </c>
      <c r="C14" s="6" t="inlineStr">
        <is>
          <t xml:space="preserve">Aug 31 balance = Jul 31</t>
        </is>
      </c>
      <c r="D14" s="6" t="inlineStr">
        <is>
          <t xml:space="preserve">The August 31 statement balance entered for BDO PESO1, BDO PESO2, WEALTHBANK, MBTC PESO1, MBTC PESO2, PNB PESO is exactly each account's July 31 balance.</t>
        </is>
      </c>
      <c r="E14" s="6" t="inlineStr">
        <is>
          <t xml:space="preserve">The actual August 31 balance per bank statement of each account (August can only be reconciled with it).</t>
        </is>
      </c>
      <c r="F14" s="8" t="inlineStr">
        <is>
          <t xml:space="preserve"/>
        </is>
      </c>
      <c r="G14" s="6" t="inlineStr">
        <is>
          <t xml:space="preserve">Bank Accounts tab, column I</t>
        </is>
      </c>
      <c r="H14" s="9" t="inlineStr">
        <is>
          <t xml:space="preserve"/>
        </is>
      </c>
    </row>
    <row r="15">
      <c r="A15" s="7">
        <v>9</v>
      </c>
      <c r="B15" s="6" t="inlineStr">
        <is>
          <t xml:space="preserve">Several accounts</t>
        </is>
      </c>
      <c r="C15" s="6" t="inlineStr">
        <is>
          <t xml:space="preserve">Aug 31 balance missing</t>
        </is>
      </c>
      <c r="D15" s="6" t="inlineStr">
        <is>
          <t xml:space="preserve">No August 31 statement balance entered yet for: EASTWEST, UNION PESO1, BPI PESO1, PNB PESO2, MBTC USD1, MBTC USD2, MBTC EURO1, MBTC EURO2, PNB USD1, PNB USD2, PNB EURO1, PNB EURO2.</t>
        </is>
      </c>
      <c r="E15" s="6" t="inlineStr">
        <is>
          <t xml:space="preserve">The August 31 bank statement balances.</t>
        </is>
      </c>
      <c r="F15" s="8" t="inlineStr">
        <is>
          <t xml:space="preserve"/>
        </is>
      </c>
      <c r="G15" s="6" t="inlineStr">
        <is>
          <t xml:space="preserve">Bank Accounts tab, column I</t>
        </is>
      </c>
      <c r="H15" s="9" t="inlineStr">
        <is>
          <t xml:space="preserve"/>
        </is>
      </c>
    </row>
    <row r="16">
      <c r="A16" s="7">
        <v>10</v>
      </c>
      <c r="B16" s="6" t="inlineStr">
        <is>
          <t xml:space="preserve">Cash advance 133</t>
        </is>
      </c>
      <c r="C16" s="6" t="inlineStr">
        <is>
          <t xml:space="preserve">Duplicate cash advance</t>
        </is>
      </c>
      <c r="D16" s="6" t="inlineStr">
        <is>
          <t xml:space="preserve">Cash advance 133 (voucher 627, ref 13157, JUDE DARRY A. DEL RIO) duplicates cash advance 173 (voucher 694, ref 28522), same amount. Its bank items were voided on 08-Oct-2026, but the cash advance is still OUTSTANDING for the full amount.</t>
        </is>
      </c>
      <c r="E16" s="6" t="inlineStr">
        <is>
          <t xml:space="preserve">OK to cancel cash advance 133?</t>
        </is>
      </c>
      <c r="F16" s="8">
        <v>1294034.25</v>
      </c>
      <c r="G16" s="6" t="inlineStr">
        <is>
          <t xml:space="preserve">CA 133 / CV 627 / ref 13157 (amount = its balance in CORECS)</t>
        </is>
      </c>
      <c r="H16" s="9" t="inlineStr">
        <is>
          <t xml:space="preserve"/>
        </is>
      </c>
    </row>
    <row r="17">
      <c r="A17" s="7">
        <v>11</v>
      </c>
      <c r="B17" s="6" t="inlineStr">
        <is>
          <t xml:space="preserve">101020111 PNB PESO</t>
        </is>
      </c>
      <c r="C17" s="6" t="inlineStr">
        <is>
          <t xml:space="preserve">Duplicate recon period</t>
        </is>
      </c>
      <c r="D17" s="6" t="inlineStr">
        <is>
          <t xml:space="preserve">An August 31 recon period for PNB PESO exists on branch 008 (no items, created 15-Sep-2026). The real one is on branch 888.</t>
        </is>
      </c>
      <c r="E17" s="6" t="inlineStr">
        <is>
          <t xml:space="preserve">OK to delete the branch 008 period?</t>
        </is>
      </c>
      <c r="F17" s="8" t="inlineStr">
        <is>
          <t xml:space="preserve"/>
        </is>
      </c>
      <c r="G17" s="6" t="inlineStr">
        <is>
          <t xml:space="preserve">Recon period ID 1150</t>
        </is>
      </c>
      <c r="H17" s="9" t="inlineStr">
        <is>
          <t xml:space="preserve"/>
        </is>
      </c>
    </row>
    <row r="18">
      <c r="A18" s="7">
        <v>12</v>
      </c>
      <c r="B18" s="6" t="inlineStr">
        <is>
          <t xml:space="preserve">Non-bank accounts</t>
        </is>
      </c>
      <c r="C18" s="6" t="inlineStr">
        <is>
          <t xml:space="preserve">Recon periods on non-bank accounts</t>
        </is>
      </c>
      <c r="D18" s="6" t="inlineStr">
        <is>
          <t xml:space="preserve">Recon periods were opened on accounts that are not bank accounts: Petty Cash 1010101 (Aug 31, 4 items), AR-Others 101030103 (Aug 31, 1 item), and 10102010 (Sep 30, no items, not in the chart of accounts, created by a test).</t>
        </is>
      </c>
      <c r="E18" s="6" t="inlineStr">
        <is>
          <t xml:space="preserve">Should Petty Cash and AR-Others be reconciled in Bank Recon? If not, OK to delete these periods?</t>
        </is>
      </c>
      <c r="F18" s="8" t="inlineStr">
        <is>
          <t xml:space="preserve"/>
        </is>
      </c>
      <c r="G18" s="6" t="inlineStr">
        <is>
          <t xml:space="preserve">Recon period IDs 1159, 1164, 1142</t>
        </is>
      </c>
      <c r="H18" s="9" t="inlineStr">
        <is>
          <t xml:space="preserve"/>
        </is>
      </c>
    </row>
  </sheetData>
  <pageMargins left="0.4" right="0.4" top="0.5" bottom="0.5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ySplit="4" topLeftCell="A5" activePane="bottomLeft" state="frozen"/>
      <selection pane="bottomLeft"/>
    </sheetView>
  </sheetViews>
  <sheetFormatPr defaultRowHeight="12.75"/>
  <cols>
    <col min="1" max="1" width="13" customWidth="1"/>
    <col min="2" max="2" width="22" customWidth="1"/>
    <col min="3" max="3" width="17" customWidth="1"/>
    <col min="4" max="4" width="27" customWidth="1"/>
    <col min="5" max="5" width="17" customWidth="1"/>
    <col min="6" max="6" width="17" customWidth="1"/>
    <col min="7" max="7" width="17" customWidth="1"/>
    <col min="8" max="8" width="17" customWidth="1"/>
    <col min="9" max="9" width="18" customWidth="1"/>
    <col min="10" max="10" width="44" customWidth="1"/>
  </cols>
  <sheetData>
    <row r="1">
      <c r="A1" s="1" t="inlineStr">
        <is>
          <t xml:space="preserve">Bank accounts: July 31 balance forward and August 31 statement balance</t>
        </is>
      </c>
    </row>
    <row r="2">
      <c r="A2" s="13" t="inlineStr">
        <is>
          <t xml:space="preserve">Source: CORECS system (STAGING, the copy of production), read 13-Oct-2026. Difference = bank + deposits in transit - outstanding cheques - GL (0.00 = reconciled).</t>
        </is>
      </c>
    </row>
    <row r="3">
      <c r="A3" s="13" t="inlineStr">
        <is>
          <t xml:space="preserve">July Peachtree list: 1st file (BDO PESO 1/2, Wealthbank, MBTC 1/2) loaded 07-Oct-2026; 2nd file (BPI PESO 1, PNB PESO, PNB PESO 2) loaded 13-Oct-2026.</t>
        </is>
      </c>
    </row>
    <row r="4">
      <c r="A4" s="3" t="inlineStr">
        <is>
          <t xml:space="preserve">Account code</t>
        </is>
      </c>
      <c r="B4" s="3" t="inlineStr">
        <is>
          <t xml:space="preserve">Account</t>
        </is>
      </c>
      <c r="C4" s="4" t="inlineStr">
        <is>
          <t xml:space="preserve">GL balance 31-Jul-2026 (PHP)</t>
        </is>
      </c>
      <c r="D4" s="3" t="inlineStr">
        <is>
          <t xml:space="preserve">July Peachtree list</t>
        </is>
      </c>
      <c r="E4" s="4" t="inlineStr">
        <is>
          <t xml:space="preserve">Bank statement 31-Jul (PHP)</t>
        </is>
      </c>
      <c r="F4" s="4" t="inlineStr">
        <is>
          <t xml:space="preserve">Deposits in transit 31-Jul (PHP)</t>
        </is>
      </c>
      <c r="G4" s="4" t="inlineStr">
        <is>
          <t xml:space="preserve">Outstanding cheques 31-Jul (PHP)</t>
        </is>
      </c>
      <c r="H4" s="4" t="inlineStr">
        <is>
          <t xml:space="preserve">Difference 31-Jul (PHP)</t>
        </is>
      </c>
      <c r="I4" s="4" t="inlineStr">
        <is>
          <t xml:space="preserve">Bank statement 31-Aug entered (PHP)</t>
        </is>
      </c>
      <c r="J4" s="3" t="inlineStr">
        <is>
          <t xml:space="preserve">Check</t>
        </is>
      </c>
    </row>
    <row r="5">
      <c r="A5" s="6" t="inlineStr">
        <is>
          <t xml:space="preserve">101020101</t>
        </is>
      </c>
      <c r="B5" s="6" t="inlineStr">
        <is>
          <t xml:space="preserve">BDO PESO1</t>
        </is>
      </c>
      <c r="C5" s="8">
        <v>-3520093.28</v>
      </c>
      <c r="D5" s="6" t="inlineStr">
        <is>
          <t xml:space="preserve">Received (1st file, 07-Oct)</t>
        </is>
      </c>
      <c r="E5" s="8">
        <v>3703850.09</v>
      </c>
      <c r="F5" s="8">
        <v>108541.63</v>
      </c>
      <c r="G5" s="8">
        <v>7332485</v>
      </c>
      <c r="H5" s="8">
        <f>E5+F5-G5-C5</f>
        <v>0</v>
      </c>
      <c r="I5" s="8">
        <v>3703850.09</v>
      </c>
      <c r="J5" s="6" t="str">
        <f>IF(D5="NOT RECEIVED","Send the July 31 reconciliation",IF(AND(ISNUMBER(H5),ROUND(H5,2)&lt;&gt;0),"July 31 does not reconcile",IF(AND(ISNUMBER(I5),ISNUMBER(E5),I5=E5),"Aug 31 balance = Jul 31 balance: please confirm",IF(AND(C5&lt;&gt;0,NOT(ISNUMBER(I5))),"Aug 31 balance not entered yet","OK"))))</f>
        <v>Aug 31 balance = Jul 31 balance: please confirm</v>
      </c>
    </row>
    <row r="6">
      <c r="A6" s="6" t="inlineStr">
        <is>
          <t xml:space="preserve">101020102</t>
        </is>
      </c>
      <c r="B6" s="6" t="inlineStr">
        <is>
          <t xml:space="preserve">BDO PESO2</t>
        </is>
      </c>
      <c r="C6" s="8">
        <v>7405929.09</v>
      </c>
      <c r="D6" s="6" t="inlineStr">
        <is>
          <t xml:space="preserve">Received (1st file, 07-Oct)</t>
        </is>
      </c>
      <c r="E6" s="8">
        <v>7484719.57</v>
      </c>
      <c r="F6" s="8">
        <v>488370.09</v>
      </c>
      <c r="G6" s="8">
        <v>2545613.24</v>
      </c>
      <c r="H6" s="8">
        <f>E6+F6-G6-C6</f>
        <v>-1978452.67</v>
      </c>
      <c r="I6" s="8">
        <v>7484719.57</v>
      </c>
      <c r="J6" s="6" t="str">
        <f>IF(D6="NOT RECEIVED","Send the July 31 reconciliation",IF(AND(ISNUMBER(H6),ROUND(H6,2)&lt;&gt;0),"July 31 does not reconcile",IF(AND(ISNUMBER(I6),ISNUMBER(E6),I6=E6),"Aug 31 balance = Jul 31 balance: please confirm",IF(AND(C6&lt;&gt;0,NOT(ISNUMBER(I6))),"Aug 31 balance not entered yet","OK"))))</f>
        <v>July 31 does not reconcile</v>
      </c>
    </row>
    <row r="7">
      <c r="A7" s="6" t="inlineStr">
        <is>
          <t xml:space="preserve">101020103</t>
        </is>
      </c>
      <c r="B7" s="6" t="inlineStr">
        <is>
          <t xml:space="preserve">EASTWEST</t>
        </is>
      </c>
      <c r="C7" s="8">
        <v>83846.36</v>
      </c>
      <c r="D7" s="6" t="inlineStr">
        <is>
          <t xml:space="preserve">NOT RECEIVED</t>
        </is>
      </c>
      <c r="E7" s="8" t="inlineStr">
        <is>
          <t xml:space="preserve"/>
        </is>
      </c>
      <c r="F7" s="8" t="inlineStr">
        <is>
          <t xml:space="preserve"/>
        </is>
      </c>
      <c r="G7" s="8" t="inlineStr">
        <is>
          <t xml:space="preserve"/>
        </is>
      </c>
      <c r="H7" s="8" t="inlineStr">
        <is>
          <t xml:space="preserve"/>
        </is>
      </c>
      <c r="I7" s="8" t="inlineStr">
        <is>
          <t xml:space="preserve"/>
        </is>
      </c>
      <c r="J7" s="6" t="str">
        <f>IF(D7="NOT RECEIVED","Send the July 31 reconciliation",IF(AND(ISNUMBER(H7),ROUND(H7,2)&lt;&gt;0),"July 31 does not reconcile",IF(AND(ISNUMBER(I7),ISNUMBER(E7),I7=E7),"Aug 31 balance = Jul 31 balance: please confirm",IF(AND(C7&lt;&gt;0,NOT(ISNUMBER(I7))),"Aug 31 balance not entered yet","OK"))))</f>
        <v>Send the July 31 reconciliation</v>
      </c>
    </row>
    <row r="8">
      <c r="A8" s="6" t="inlineStr">
        <is>
          <t xml:space="preserve">101020104</t>
        </is>
      </c>
      <c r="B8" s="6" t="inlineStr">
        <is>
          <t xml:space="preserve">WEALTHBANK</t>
        </is>
      </c>
      <c r="C8" s="8">
        <v>1785273.68</v>
      </c>
      <c r="D8" s="6" t="inlineStr">
        <is>
          <t xml:space="preserve">Received (1st file, 07-Oct)</t>
        </is>
      </c>
      <c r="E8" s="8">
        <v>785223.68</v>
      </c>
      <c r="F8" s="8">
        <v>0</v>
      </c>
      <c r="G8" s="8">
        <v>0</v>
      </c>
      <c r="H8" s="8">
        <f>E8+F8-G8-C8</f>
        <v>-1000050</v>
      </c>
      <c r="I8" s="8">
        <v>785223.68</v>
      </c>
      <c r="J8" s="6" t="str">
        <f>IF(D8="NOT RECEIVED","Send the July 31 reconciliation",IF(AND(ISNUMBER(H8),ROUND(H8,2)&lt;&gt;0),"July 31 does not reconcile",IF(AND(ISNUMBER(I8),ISNUMBER(E8),I8=E8),"Aug 31 balance = Jul 31 balance: please confirm",IF(AND(C8&lt;&gt;0,NOT(ISNUMBER(I8))),"Aug 31 balance not entered yet","OK"))))</f>
        <v>July 31 does not reconcile</v>
      </c>
    </row>
    <row r="9">
      <c r="A9" s="6" t="inlineStr">
        <is>
          <t xml:space="preserve">101020105</t>
        </is>
      </c>
      <c r="B9" s="6" t="inlineStr">
        <is>
          <t xml:space="preserve">UNION PESO1</t>
        </is>
      </c>
      <c r="C9" s="8">
        <v>2000000</v>
      </c>
      <c r="D9" s="6" t="inlineStr">
        <is>
          <t xml:space="preserve">NOT RECEIVED</t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6" t="str">
        <f>IF(D9="NOT RECEIVED","Send the July 31 reconciliation",IF(AND(ISNUMBER(H9),ROUND(H9,2)&lt;&gt;0),"July 31 does not reconcile",IF(AND(ISNUMBER(I9),ISNUMBER(E9),I9=E9),"Aug 31 balance = Jul 31 balance: please confirm",IF(AND(C9&lt;&gt;0,NOT(ISNUMBER(I9))),"Aug 31 balance not entered yet","OK"))))</f>
        <v>Send the July 31 reconciliation</v>
      </c>
    </row>
    <row r="10">
      <c r="A10" s="6" t="inlineStr">
        <is>
          <t xml:space="preserve">101020106</t>
        </is>
      </c>
      <c r="B10" s="6" t="inlineStr">
        <is>
          <t xml:space="preserve">UNION PESO2</t>
        </is>
      </c>
      <c r="C10" s="8">
        <v>0</v>
      </c>
      <c r="D10" s="6" t="inlineStr">
        <is>
          <t xml:space="preserve">Not needed (no balance)</t>
        </is>
      </c>
      <c r="E10" s="8" t="inlineStr">
        <is>
          <t xml:space="preserve"/>
        </is>
      </c>
      <c r="F10" s="8" t="inlineStr">
        <is>
          <t xml:space="preserve"/>
        </is>
      </c>
      <c r="G10" s="8" t="inlineStr">
        <is>
          <t xml:space="preserve"/>
        </is>
      </c>
      <c r="H10" s="8" t="inlineStr">
        <is>
          <t xml:space="preserve"/>
        </is>
      </c>
      <c r="I10" s="8" t="inlineStr">
        <is>
          <t xml:space="preserve"/>
        </is>
      </c>
      <c r="J10" s="6" t="str">
        <f>IF(D10="NOT RECEIVED","Send the July 31 reconciliation",IF(AND(ISNUMBER(H10),ROUND(H10,2)&lt;&gt;0),"July 31 does not reconcile",IF(AND(ISNUMBER(I10),ISNUMBER(E10),I10=E10),"Aug 31 balance = Jul 31 balance: please confirm",IF(AND(C10&lt;&gt;0,NOT(ISNUMBER(I10))),"Aug 31 balance not entered yet","OK"))))</f>
        <v>OK</v>
      </c>
    </row>
    <row r="11">
      <c r="A11" s="6" t="inlineStr">
        <is>
          <t xml:space="preserve">101020107</t>
        </is>
      </c>
      <c r="B11" s="6" t="inlineStr">
        <is>
          <t xml:space="preserve">MBTC PESO1</t>
        </is>
      </c>
      <c r="C11" s="8">
        <v>3607263.24</v>
      </c>
      <c r="D11" s="6" t="inlineStr">
        <is>
          <t xml:space="preserve">Received (1st file, 07-Oct)</t>
        </is>
      </c>
      <c r="E11" s="8">
        <v>4881448.93</v>
      </c>
      <c r="F11" s="8">
        <v>366478.9</v>
      </c>
      <c r="G11" s="8">
        <v>1640664.59</v>
      </c>
      <c r="H11" s="8">
        <f>E11+F11-G11-C11</f>
        <v>0</v>
      </c>
      <c r="I11" s="8">
        <v>4881448.93</v>
      </c>
      <c r="J11" s="6" t="str">
        <f>IF(D11="NOT RECEIVED","Send the July 31 reconciliation",IF(AND(ISNUMBER(H11),ROUND(H11,2)&lt;&gt;0),"July 31 does not reconcile",IF(AND(ISNUMBER(I11),ISNUMBER(E11),I11=E11),"Aug 31 balance = Jul 31 balance: please confirm",IF(AND(C11&lt;&gt;0,NOT(ISNUMBER(I11))),"Aug 31 balance not entered yet","OK"))))</f>
        <v>Aug 31 balance = Jul 31 balance: please confirm</v>
      </c>
    </row>
    <row r="12">
      <c r="A12" s="6" t="inlineStr">
        <is>
          <t xml:space="preserve">101020108</t>
        </is>
      </c>
      <c r="B12" s="6" t="inlineStr">
        <is>
          <t xml:space="preserve">MBTC PESO2</t>
        </is>
      </c>
      <c r="C12" s="8">
        <v>4631812.59</v>
      </c>
      <c r="D12" s="6" t="inlineStr">
        <is>
          <t xml:space="preserve">Received (1st file, 07-Oct)</t>
        </is>
      </c>
      <c r="E12" s="8">
        <v>4650438.38</v>
      </c>
      <c r="F12" s="8">
        <v>0</v>
      </c>
      <c r="G12" s="8">
        <v>18625.79</v>
      </c>
      <c r="H12" s="8">
        <f>E12+F12-G12-C12</f>
        <v>0</v>
      </c>
      <c r="I12" s="8">
        <v>4650438.38</v>
      </c>
      <c r="J12" s="6" t="str">
        <f>IF(D12="NOT RECEIVED","Send the July 31 reconciliation",IF(AND(ISNUMBER(H12),ROUND(H12,2)&lt;&gt;0),"July 31 does not reconcile",IF(AND(ISNUMBER(I12),ISNUMBER(E12),I12=E12),"Aug 31 balance = Jul 31 balance: please confirm",IF(AND(C12&lt;&gt;0,NOT(ISNUMBER(I12))),"Aug 31 balance not entered yet","OK"))))</f>
        <v>Aug 31 balance = Jul 31 balance: please confirm</v>
      </c>
    </row>
    <row r="13">
      <c r="A13" s="6" t="inlineStr">
        <is>
          <t xml:space="preserve">101020109</t>
        </is>
      </c>
      <c r="B13" s="6" t="inlineStr">
        <is>
          <t xml:space="preserve">BPI PESO1</t>
        </is>
      </c>
      <c r="C13" s="8">
        <v>1289835.21</v>
      </c>
      <c r="D13" s="6" t="inlineStr">
        <is>
          <t xml:space="preserve">Received (2nd file, 13-Oct)</t>
        </is>
      </c>
      <c r="E13" s="8">
        <v>2589835.21</v>
      </c>
      <c r="F13" s="8">
        <v>0</v>
      </c>
      <c r="G13" s="8">
        <v>1300000</v>
      </c>
      <c r="H13" s="8">
        <f>E13+F13-G13-C13</f>
        <v>0</v>
      </c>
      <c r="I13" s="8" t="inlineStr">
        <is>
          <t xml:space="preserve"/>
        </is>
      </c>
      <c r="J13" s="6" t="str">
        <f>IF(D13="NOT RECEIVED","Send the July 31 reconciliation",IF(AND(ISNUMBER(H13),ROUND(H13,2)&lt;&gt;0),"July 31 does not reconcile",IF(AND(ISNUMBER(I13),ISNUMBER(E13),I13=E13),"Aug 31 balance = Jul 31 balance: please confirm",IF(AND(C13&lt;&gt;0,NOT(ISNUMBER(I13))),"Aug 31 balance not entered yet","OK"))))</f>
        <v>Aug 31 balance not entered yet</v>
      </c>
    </row>
    <row r="14">
      <c r="A14" s="6" t="inlineStr">
        <is>
          <t xml:space="preserve">101020110</t>
        </is>
      </c>
      <c r="B14" s="6" t="inlineStr">
        <is>
          <t xml:space="preserve">BPI PESO2</t>
        </is>
      </c>
      <c r="C14" s="8">
        <v>0</v>
      </c>
      <c r="D14" s="6" t="inlineStr">
        <is>
          <t xml:space="preserve">Not needed (no balance)</t>
        </is>
      </c>
      <c r="E14" s="8" t="inlineStr">
        <is>
          <t xml:space="preserve"/>
        </is>
      </c>
      <c r="F14" s="8" t="inlineStr">
        <is>
          <t xml:space="preserve"/>
        </is>
      </c>
      <c r="G14" s="8" t="inlineStr">
        <is>
          <t xml:space="preserve"/>
        </is>
      </c>
      <c r="H14" s="8" t="inlineStr">
        <is>
          <t xml:space="preserve"/>
        </is>
      </c>
      <c r="I14" s="8" t="inlineStr">
        <is>
          <t xml:space="preserve"/>
        </is>
      </c>
      <c r="J14" s="6" t="str">
        <f>IF(D14="NOT RECEIVED","Send the July 31 reconciliation",IF(AND(ISNUMBER(H14),ROUND(H14,2)&lt;&gt;0),"July 31 does not reconcile",IF(AND(ISNUMBER(I14),ISNUMBER(E14),I14=E14),"Aug 31 balance = Jul 31 balance: please confirm",IF(AND(C14&lt;&gt;0,NOT(ISNUMBER(I14))),"Aug 31 balance not entered yet","OK"))))</f>
        <v>OK</v>
      </c>
    </row>
    <row r="15">
      <c r="A15" s="6" t="inlineStr">
        <is>
          <t xml:space="preserve">101020111</t>
        </is>
      </c>
      <c r="B15" s="6" t="inlineStr">
        <is>
          <t xml:space="preserve">PNB PESO</t>
        </is>
      </c>
      <c r="C15" s="8">
        <v>10407816.99</v>
      </c>
      <c r="D15" s="6" t="inlineStr">
        <is>
          <t xml:space="preserve">Received (2nd file, 13-Oct)</t>
        </is>
      </c>
      <c r="E15" s="8">
        <v>8733642.29</v>
      </c>
      <c r="F15" s="8">
        <v>1674174.7</v>
      </c>
      <c r="G15" s="8">
        <v>0</v>
      </c>
      <c r="H15" s="8">
        <f>E15+F15-G15-C15</f>
        <v>0</v>
      </c>
      <c r="I15" s="8">
        <v>8733642.29</v>
      </c>
      <c r="J15" s="6" t="str">
        <f>IF(D15="NOT RECEIVED","Send the July 31 reconciliation",IF(AND(ISNUMBER(H15),ROUND(H15,2)&lt;&gt;0),"July 31 does not reconcile",IF(AND(ISNUMBER(I15),ISNUMBER(E15),I15=E15),"Aug 31 balance = Jul 31 balance: please confirm",IF(AND(C15&lt;&gt;0,NOT(ISNUMBER(I15))),"Aug 31 balance not entered yet","OK"))))</f>
        <v>Aug 31 balance = Jul 31 balance: please confirm</v>
      </c>
    </row>
    <row r="16">
      <c r="A16" s="6" t="inlineStr">
        <is>
          <t xml:space="preserve">101020112</t>
        </is>
      </c>
      <c r="B16" s="6" t="inlineStr">
        <is>
          <t xml:space="preserve">PNB PESO2</t>
        </is>
      </c>
      <c r="C16" s="8">
        <v>21195077.57</v>
      </c>
      <c r="D16" s="6" t="inlineStr">
        <is>
          <t xml:space="preserve">Received (2nd file, 13-Oct)</t>
        </is>
      </c>
      <c r="E16" s="8">
        <v>21195077.57</v>
      </c>
      <c r="F16" s="8">
        <v>0</v>
      </c>
      <c r="G16" s="8">
        <v>0</v>
      </c>
      <c r="H16" s="8">
        <f>E16+F16-G16-C16</f>
        <v>0</v>
      </c>
      <c r="I16" s="8" t="inlineStr">
        <is>
          <t xml:space="preserve"/>
        </is>
      </c>
      <c r="J16" s="6" t="str">
        <f>IF(D16="NOT RECEIVED","Send the July 31 reconciliation",IF(AND(ISNUMBER(H16),ROUND(H16,2)&lt;&gt;0),"July 31 does not reconcile",IF(AND(ISNUMBER(I16),ISNUMBER(E16),I16=E16),"Aug 31 balance = Jul 31 balance: please confirm",IF(AND(C16&lt;&gt;0,NOT(ISNUMBER(I16))),"Aug 31 balance not entered yet","OK"))))</f>
        <v>Aug 31 balance not entered yet</v>
      </c>
    </row>
    <row r="17">
      <c r="A17" s="6" t="inlineStr">
        <is>
          <t xml:space="preserve">101020205</t>
        </is>
      </c>
      <c r="B17" s="6" t="inlineStr">
        <is>
          <t xml:space="preserve">MBTC USD1</t>
        </is>
      </c>
      <c r="C17" s="8">
        <v>234571.77</v>
      </c>
      <c r="D17" s="6" t="inlineStr">
        <is>
          <t xml:space="preserve">NOT RECEIVED</t>
        </is>
      </c>
      <c r="E17" s="8" t="inlineStr">
        <is>
          <t xml:space="preserve"/>
        </is>
      </c>
      <c r="F17" s="8" t="inlineStr">
        <is>
          <t xml:space="preserve"/>
        </is>
      </c>
      <c r="G17" s="8" t="inlineStr">
        <is>
          <t xml:space="preserve"/>
        </is>
      </c>
      <c r="H17" s="8" t="inlineStr">
        <is>
          <t xml:space="preserve"/>
        </is>
      </c>
      <c r="I17" s="8" t="inlineStr">
        <is>
          <t xml:space="preserve"/>
        </is>
      </c>
      <c r="J17" s="6" t="str">
        <f>IF(D17="NOT RECEIVED","Send the July 31 reconciliation",IF(AND(ISNUMBER(H17),ROUND(H17,2)&lt;&gt;0),"July 31 does not reconcile",IF(AND(ISNUMBER(I17),ISNUMBER(E17),I17=E17),"Aug 31 balance = Jul 31 balance: please confirm",IF(AND(C17&lt;&gt;0,NOT(ISNUMBER(I17))),"Aug 31 balance not entered yet","OK"))))</f>
        <v>Send the July 31 reconciliation</v>
      </c>
    </row>
    <row r="18">
      <c r="A18" s="6" t="inlineStr">
        <is>
          <t xml:space="preserve">101020206</t>
        </is>
      </c>
      <c r="B18" s="6" t="inlineStr">
        <is>
          <t xml:space="preserve">MBTC USD2</t>
        </is>
      </c>
      <c r="C18" s="8">
        <v>109509.35</v>
      </c>
      <c r="D18" s="6" t="inlineStr">
        <is>
          <t xml:space="preserve">NOT RECEIVED</t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6" t="str">
        <f>IF(D18="NOT RECEIVED","Send the July 31 reconciliation",IF(AND(ISNUMBER(H18),ROUND(H18,2)&lt;&gt;0),"July 31 does not reconcile",IF(AND(ISNUMBER(I18),ISNUMBER(E18),I18=E18),"Aug 31 balance = Jul 31 balance: please confirm",IF(AND(C18&lt;&gt;0,NOT(ISNUMBER(I18))),"Aug 31 balance not entered yet","OK"))))</f>
        <v>Send the July 31 reconciliation</v>
      </c>
    </row>
    <row r="19">
      <c r="A19" s="6" t="inlineStr">
        <is>
          <t xml:space="preserve">101020207</t>
        </is>
      </c>
      <c r="B19" s="6" t="inlineStr">
        <is>
          <t xml:space="preserve">MBTC EURO1</t>
        </is>
      </c>
      <c r="C19" s="8">
        <v>67657.79</v>
      </c>
      <c r="D19" s="6" t="inlineStr">
        <is>
          <t xml:space="preserve">NOT RECEIVED</t>
        </is>
      </c>
      <c r="E19" s="8" t="inlineStr">
        <is>
          <t xml:space="preserve"/>
        </is>
      </c>
      <c r="F19" s="8" t="inlineStr">
        <is>
          <t xml:space="preserve"/>
        </is>
      </c>
      <c r="G19" s="8" t="inlineStr">
        <is>
          <t xml:space="preserve"/>
        </is>
      </c>
      <c r="H19" s="8" t="inlineStr">
        <is>
          <t xml:space="preserve"/>
        </is>
      </c>
      <c r="I19" s="8" t="inlineStr">
        <is>
          <t xml:space="preserve"/>
        </is>
      </c>
      <c r="J19" s="6" t="str">
        <f>IF(D19="NOT RECEIVED","Send the July 31 reconciliation",IF(AND(ISNUMBER(H19),ROUND(H19,2)&lt;&gt;0),"July 31 does not reconcile",IF(AND(ISNUMBER(I19),ISNUMBER(E19),I19=E19),"Aug 31 balance = Jul 31 balance: please confirm",IF(AND(C19&lt;&gt;0,NOT(ISNUMBER(I19))),"Aug 31 balance not entered yet","OK"))))</f>
        <v>Send the July 31 reconciliation</v>
      </c>
    </row>
    <row r="20">
      <c r="A20" s="6" t="inlineStr">
        <is>
          <t xml:space="preserve">101020208</t>
        </is>
      </c>
      <c r="B20" s="6" t="inlineStr">
        <is>
          <t xml:space="preserve">MBTC EURO2</t>
        </is>
      </c>
      <c r="C20" s="8">
        <v>32657.77</v>
      </c>
      <c r="D20" s="6" t="inlineStr">
        <is>
          <t xml:space="preserve">NOT RECEIVED</t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6" t="str">
        <f>IF(D20="NOT RECEIVED","Send the July 31 reconciliation",IF(AND(ISNUMBER(H20),ROUND(H20,2)&lt;&gt;0),"July 31 does not reconcile",IF(AND(ISNUMBER(I20),ISNUMBER(E20),I20=E20),"Aug 31 balance = Jul 31 balance: please confirm",IF(AND(C20&lt;&gt;0,NOT(ISNUMBER(I20))),"Aug 31 balance not entered yet","OK"))))</f>
        <v>Send the July 31 reconciliation</v>
      </c>
    </row>
    <row r="21">
      <c r="A21" s="6" t="inlineStr">
        <is>
          <t xml:space="preserve">101020211</t>
        </is>
      </c>
      <c r="B21" s="6" t="inlineStr">
        <is>
          <t xml:space="preserve">PNB USD1</t>
        </is>
      </c>
      <c r="C21" s="8">
        <v>65585.53</v>
      </c>
      <c r="D21" s="6" t="inlineStr">
        <is>
          <t xml:space="preserve">NOT RECEIVED</t>
        </is>
      </c>
      <c r="E21" s="8" t="inlineStr">
        <is>
          <t xml:space="preserve"/>
        </is>
      </c>
      <c r="F21" s="8" t="inlineStr">
        <is>
          <t xml:space="preserve"/>
        </is>
      </c>
      <c r="G21" s="8" t="inlineStr">
        <is>
          <t xml:space="preserve"/>
        </is>
      </c>
      <c r="H21" s="8" t="inlineStr">
        <is>
          <t xml:space="preserve"/>
        </is>
      </c>
      <c r="I21" s="8" t="inlineStr">
        <is>
          <t xml:space="preserve"/>
        </is>
      </c>
      <c r="J21" s="6" t="str">
        <f>IF(D21="NOT RECEIVED","Send the July 31 reconciliation",IF(AND(ISNUMBER(H21),ROUND(H21,2)&lt;&gt;0),"July 31 does not reconcile",IF(AND(ISNUMBER(I21),ISNUMBER(E21),I21=E21),"Aug 31 balance = Jul 31 balance: please confirm",IF(AND(C21&lt;&gt;0,NOT(ISNUMBER(I21))),"Aug 31 balance not entered yet","OK"))))</f>
        <v>Send the July 31 reconciliation</v>
      </c>
    </row>
    <row r="22">
      <c r="A22" s="6" t="inlineStr">
        <is>
          <t xml:space="preserve">101020212</t>
        </is>
      </c>
      <c r="B22" s="6" t="inlineStr">
        <is>
          <t xml:space="preserve">PNB USD2</t>
        </is>
      </c>
      <c r="C22" s="8">
        <v>61463.63</v>
      </c>
      <c r="D22" s="6" t="inlineStr">
        <is>
          <t xml:space="preserve">NOT RECEIVED</t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6" t="str">
        <f>IF(D22="NOT RECEIVED","Send the July 31 reconciliation",IF(AND(ISNUMBER(H22),ROUND(H22,2)&lt;&gt;0),"July 31 does not reconcile",IF(AND(ISNUMBER(I22),ISNUMBER(E22),I22=E22),"Aug 31 balance = Jul 31 balance: please confirm",IF(AND(C22&lt;&gt;0,NOT(ISNUMBER(I22))),"Aug 31 balance not entered yet","OK"))))</f>
        <v>Send the July 31 reconciliation</v>
      </c>
    </row>
    <row r="23">
      <c r="A23" s="6" t="inlineStr">
        <is>
          <t xml:space="preserve">101020213</t>
        </is>
      </c>
      <c r="B23" s="6" t="inlineStr">
        <is>
          <t xml:space="preserve">PNB EURO1</t>
        </is>
      </c>
      <c r="C23" s="8">
        <v>45641.19</v>
      </c>
      <c r="D23" s="6" t="inlineStr">
        <is>
          <t xml:space="preserve">NOT RECEIVED</t>
        </is>
      </c>
      <c r="E23" s="8" t="inlineStr">
        <is>
          <t xml:space="preserve"/>
        </is>
      </c>
      <c r="F23" s="8" t="inlineStr">
        <is>
          <t xml:space="preserve"/>
        </is>
      </c>
      <c r="G23" s="8" t="inlineStr">
        <is>
          <t xml:space="preserve"/>
        </is>
      </c>
      <c r="H23" s="8" t="inlineStr">
        <is>
          <t xml:space="preserve"/>
        </is>
      </c>
      <c r="I23" s="8" t="inlineStr">
        <is>
          <t xml:space="preserve"/>
        </is>
      </c>
      <c r="J23" s="6" t="str">
        <f>IF(D23="NOT RECEIVED","Send the July 31 reconciliation",IF(AND(ISNUMBER(H23),ROUND(H23,2)&lt;&gt;0),"July 31 does not reconcile",IF(AND(ISNUMBER(I23),ISNUMBER(E23),I23=E23),"Aug 31 balance = Jul 31 balance: please confirm",IF(AND(C23&lt;&gt;0,NOT(ISNUMBER(I23))),"Aug 31 balance not entered yet","OK"))))</f>
        <v>Send the July 31 reconciliation</v>
      </c>
    </row>
    <row r="24">
      <c r="A24" s="6" t="inlineStr">
        <is>
          <t xml:space="preserve">101020214</t>
        </is>
      </c>
      <c r="B24" s="6" t="inlineStr">
        <is>
          <t xml:space="preserve">PNB EURO2</t>
        </is>
      </c>
      <c r="C24" s="8">
        <v>55614.69</v>
      </c>
      <c r="D24" s="6" t="inlineStr">
        <is>
          <t xml:space="preserve">NOT RECEIVED</t>
        </is>
      </c>
      <c r="E24" s="8" t="inlineStr">
        <is>
          <t xml:space="preserve"/>
        </is>
      </c>
      <c r="F24" s="8" t="inlineStr">
        <is>
          <t xml:space="preserve"/>
        </is>
      </c>
      <c r="G24" s="8" t="inlineStr">
        <is>
          <t xml:space="preserve"/>
        </is>
      </c>
      <c r="H24" s="8" t="inlineStr">
        <is>
          <t xml:space="preserve"/>
        </is>
      </c>
      <c r="I24" s="8" t="inlineStr">
        <is>
          <t xml:space="preserve"/>
        </is>
      </c>
      <c r="J24" s="6" t="str">
        <f>IF(D24="NOT RECEIVED","Send the July 31 reconciliation",IF(AND(ISNUMBER(H24),ROUND(H24,2)&lt;&gt;0),"July 31 does not reconcile",IF(AND(ISNUMBER(I24),ISNUMBER(E24),I24=E24),"Aug 31 balance = Jul 31 balance: please confirm",IF(AND(C24&lt;&gt;0,NOT(ISNUMBER(I24))),"Aug 31 balance not entered yet","OK"))))</f>
        <v>Send the July 31 reconciliation</v>
      </c>
    </row>
  </sheetData>
  <pageMargins left="0.4" right="0.4" top="0.5" bottom="0.5" header="0.3" footer="0.3"/>
  <pageSetup paperSize="9"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Bank Reconciliation - pending items for Accounting</dc:title>
  <dc:creator>CORECS</dc:creator>
  <dcterms:created xsi:type="dcterms:W3CDTF">2026-10-13T00:00:00Z</dcterms:created>
</cp:coreProperties>
</file>