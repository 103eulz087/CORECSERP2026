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Items" sheetId="2" r:id="rId2"/>
  </sheets>
  <definedNames>
    <definedName name="_xlnm._FilterDatabase" localSheetId="1" hidden="1">'Items'!$A$4:$U$20</definedName>
  </definedNames>
  <calcPr calcId="191029" fullCalcOnLoad="1"/>
</workbook>
</file>

<file path=xl/styles.xml><?xml version="1.0" encoding="utf-8"?>
<styleSheet xmlns="http://schemas.openxmlformats.org/spreadsheetml/2006/main">
  <numFmts count="2">
    <numFmt numFmtId="164" formatCode="#,##0.00;[Red]-#,##0.00"/>
    <numFmt numFmtId="165" formatCode="yyyy-mm-dd"/>
  </numFmts>
  <fonts count="4">
    <font>
      <sz val="10"/>
      <name val="Arial"/>
    </font>
    <font>
      <b/>
      <sz val="10"/>
      <color rgb="FFFFFFFF"/>
      <name val="Arial"/>
    </font>
    <font>
      <b/>
      <sz val="10"/>
      <name val="Arial"/>
    </font>
    <font>
      <b/>
      <sz val="14"/>
      <name val="Arial"/>
    </font>
  </fonts>
  <fills count="4">
    <fill>
      <patternFill patternType="none"/>
    </fill>
    <fill>
      <patternFill patternType="gray125"/>
    </fill>
    <fill>
      <patternFill patternType="solid">
        <fgColor rgb="FF1F3864"/>
        <bgColor indexed="64"/>
      </patternFill>
    </fill>
    <fill>
      <patternFill patternType="solid">
        <fgColor rgb="FFFFF4D6"/>
        <bgColor indexed="64"/>
      </patternFill>
    </fill>
  </fills>
  <borders count="2">
    <border/>
    <border>
      <top style="thin"/>
      <bottom style="double"/>
    </border>
  </borders>
  <cellStyleXfs count="1">
    <xf numFmtId="0" fontId="0" fillId="0" borderId="0"/>
  </cellStyleXfs>
  <cellXfs count="10">
    <xf numFmtId="0" fontId="0" fillId="0" borderId="0" xfId="0"/>
    <xf numFmtId="0" fontId="1" fillId="2" borderId="0" xfId="0" applyFont="1" applyFill="1" applyAlignment="1">
      <alignment wrapText="1" vertical="center"/>
    </xf>
    <xf numFmtId="164" fontId="0" fillId="0" borderId="0" xfId="0" applyNumberFormat="1"/>
    <xf numFmtId="165" fontId="0" fillId="0" borderId="0" xfId="0" applyNumberFormat="1"/>
    <xf numFmtId="0" fontId="2" fillId="3" borderId="1" xfId="0" applyFont="1" applyFill="1" applyBorder="1"/>
    <xf numFmtId="164" fontId="2" fillId="3" borderId="1" xfId="0" applyNumberFormat="1" applyFont="1" applyFill="1" applyBorder="1"/>
    <xf numFmtId="0" fontId="3" fillId="0" borderId="0" xfId="0" applyFont="1"/>
    <xf numFmtId="0" fontId="0" fillId="0" borderId="0" xfId="0" applyAlignment="1">
      <alignment wrapText="1" vertical="top"/>
    </xf>
    <xf numFmtId="3" fontId="0" fillId="0" borderId="0" xfId="0" applyNumberFormat="1"/>
    <xf numFmtId="0" fontId="2"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showGridLines="0"/>
  </sheetViews>
  <cols>
    <col min="1" max="1" width="14" customWidth="1"/>
    <col min="2" max="2" width="30" customWidth="1"/>
    <col min="3" max="9" width="17" customWidth="1"/>
  </cols>
  <sheetData>
    <row r="1">
      <c r="A1" s="6" t="inlineStr">
        <is>
          <t xml:space="preserve">Bank Recon - items reversed in a later month</t>
        </is>
      </c>
    </row>
    <row r="2">
      <c r="A2" s="0" t="inlineStr">
        <is>
          <t xml:space="preserve">Database: CORECSJFC2026_STAGING (copy of production, 2026-10-08)   |   Prepared 2026-10-09 for verification</t>
        </is>
      </c>
    </row>
    <row r="4">
      <c r="A4" s="9" t="inlineStr">
        <is>
          <t xml:space="preserve">What we found</t>
        </is>
      </c>
    </row>
    <row r="5">
      <c r="A5" s="0" t="inlineStr">
        <is>
          <t xml:space="preserve">A reversed or voided payment, cheque or cash advance has two GL entries on the bank account: the original and its reversal. Together they net to zero.</t>
        </is>
      </c>
    </row>
    <row r="6">
      <c r="A6" s="0" t="inlineStr">
        <is>
          <t xml:space="preserve">The Bank Recon screen hides such items in every month. That is right from the month of the reversal on, and also when both entries fall in the same month (129 of 149 items).</t>
        </is>
      </c>
    </row>
    <row r="7">
      <c r="A7" s="0" t="inlineStr">
        <is>
          <t xml:space="preserve">For the 16 items on the next sheet the reversal is dated in a LATER month. At the end of the original month the GL already has the original entry but not yet the reversal,</t>
        </is>
      </c>
    </row>
    <row r="8">
      <c r="A8" s="0" t="inlineStr">
        <is>
          <t xml:space="preserve">and the bank never processed it. So at that month end it was a real outstanding cheque / deposit in transit and should be listed in that month's reconciliation.</t>
        </is>
      </c>
    </row>
    <row r="9">
      <c r="A9" s="0" t="inlineStr">
        <is>
          <t xml:space="preserve">Example: cheque X2608-023 (BDO PESO 2, 5,914,761.28) was issued 2026-08-14 and voided 2026-09-26. It belongs in the Aug 31 outstanding checks, not in September's.</t>
        </is>
      </c>
    </row>
    <row r="11">
      <c r="A11" s="9" t="inlineStr">
        <is>
          <t xml:space="preserve">Please verify for each item</t>
        </is>
      </c>
    </row>
    <row r="12">
      <c r="A12" s="0" t="inlineStr">
        <is>
          <t xml:space="preserve">   1. It does NOT appear on the bank statement of its original month (the cheque was not encashed / the deposit was not credited). If it does, tell us: then it is not a timing item.</t>
        </is>
      </c>
    </row>
    <row r="13">
      <c r="A13" s="0" t="inlineStr">
        <is>
          <t xml:space="preserve">   2. The voucher / payment was really voided or reversed, on the date shown in "Reversal GL Date".</t>
        </is>
      </c>
    </row>
    <row r="14">
      <c r="A14" s="0" t="inlineStr">
        <is>
          <t xml:space="preserve">   Mark the "Verified" column (Y / N) and add a remark where needed, then send the file back.</t>
        </is>
      </c>
    </row>
    <row r="16">
      <c r="A16" s="9" t="inlineStr">
        <is>
          <t xml:space="preserve">Effect on each month's Difference once these items are listed in their original month</t>
        </is>
      </c>
    </row>
    <row r="17" ht="30" customHeight="1">
      <c r="A17" s="1" t="inlineStr">
        <is>
          <t xml:space="preserve">Account</t>
        </is>
      </c>
      <c r="B17" s="1" t="inlineStr">
        <is>
          <t xml:space="preserve">Account Name</t>
        </is>
      </c>
      <c r="C17" s="1" t="inlineStr">
        <is>
          <t xml:space="preserve">Original Month</t>
        </is>
      </c>
      <c r="D17" s="1" t="inlineStr">
        <is>
          <t xml:space="preserve">Reversed In</t>
        </is>
      </c>
      <c r="E17" s="1" t="inlineStr">
        <is>
          <t xml:space="preserve">Items</t>
        </is>
      </c>
      <c r="F17" s="1" t="inlineStr">
        <is>
          <t xml:space="preserve">DIT</t>
        </is>
      </c>
      <c r="G17" s="1" t="inlineStr">
        <is>
          <t xml:space="preserve">OC</t>
        </is>
      </c>
      <c r="H17" s="1" t="inlineStr">
        <is>
          <t xml:space="preserve">Difference Change</t>
        </is>
      </c>
    </row>
    <row r="18">
      <c r="A18" s="0" t="inlineStr">
        <is>
          <t xml:space="preserve">101020101</t>
        </is>
      </c>
      <c r="B18" s="0" t="inlineStr">
        <is>
          <t xml:space="preserve">CASH IN BANK - BDO PESO1</t>
        </is>
      </c>
      <c r="C18" s="0" t="inlineStr">
        <is>
          <t xml:space="preserve">2026-08</t>
        </is>
      </c>
      <c r="D18" s="0" t="inlineStr">
        <is>
          <t xml:space="preserve">2026-09</t>
        </is>
      </c>
      <c r="E18" s="8">
        <v>6</v>
      </c>
      <c r="F18" s="2">
        <v>500000.00</v>
      </c>
      <c r="G18" s="2">
        <v>586279.58</v>
      </c>
      <c r="H18" s="2">
        <v>-86279.58</v>
      </c>
    </row>
    <row r="19">
      <c r="A19" s="0" t="inlineStr">
        <is>
          <t xml:space="preserve">101020102</t>
        </is>
      </c>
      <c r="B19" s="0" t="inlineStr">
        <is>
          <t xml:space="preserve">CASH IN BANK - BDO PESO2</t>
        </is>
      </c>
      <c r="C19" s="0" t="inlineStr">
        <is>
          <t xml:space="preserve">2026-08</t>
        </is>
      </c>
      <c r="D19" s="0" t="inlineStr">
        <is>
          <t xml:space="preserve">2026-09</t>
        </is>
      </c>
      <c r="E19" s="8">
        <v>3</v>
      </c>
      <c r="F19" s="2">
        <v>0.00</v>
      </c>
      <c r="G19" s="2">
        <v>7103793.43</v>
      </c>
      <c r="H19" s="2">
        <v>-7103793.43</v>
      </c>
    </row>
    <row r="20">
      <c r="A20" s="0" t="inlineStr">
        <is>
          <t xml:space="preserve">101020107</t>
        </is>
      </c>
      <c r="B20" s="0" t="inlineStr">
        <is>
          <t xml:space="preserve">CASH IN BANK - MBTC PESO1</t>
        </is>
      </c>
      <c r="C20" s="0" t="inlineStr">
        <is>
          <t xml:space="preserve">2026-08</t>
        </is>
      </c>
      <c r="D20" s="0" t="inlineStr">
        <is>
          <t xml:space="preserve">2026-09</t>
        </is>
      </c>
      <c r="E20" s="8">
        <v>1</v>
      </c>
      <c r="F20" s="2">
        <v>0.00</v>
      </c>
      <c r="G20" s="2">
        <v>1256904.23</v>
      </c>
      <c r="H20" s="2">
        <v>-1256904.23</v>
      </c>
    </row>
    <row r="21">
      <c r="A21" s="0" t="inlineStr">
        <is>
          <t xml:space="preserve">101020108</t>
        </is>
      </c>
      <c r="B21" s="0" t="inlineStr">
        <is>
          <t xml:space="preserve">CASH IN BANK - MBTC PESO2</t>
        </is>
      </c>
      <c r="C21" s="0" t="inlineStr">
        <is>
          <t xml:space="preserve">2026-08</t>
        </is>
      </c>
      <c r="D21" s="0" t="inlineStr">
        <is>
          <t xml:space="preserve">2026-09</t>
        </is>
      </c>
      <c r="E21" s="8">
        <v>1</v>
      </c>
      <c r="F21" s="2">
        <v>1256904.23</v>
      </c>
      <c r="G21" s="2">
        <v>0.00</v>
      </c>
      <c r="H21" s="2">
        <v>1256904.23</v>
      </c>
    </row>
    <row r="22">
      <c r="A22" s="0" t="inlineStr">
        <is>
          <t xml:space="preserve">101020111</t>
        </is>
      </c>
      <c r="B22" s="0" t="inlineStr">
        <is>
          <t xml:space="preserve">CASH IN BANK - PNB PESO</t>
        </is>
      </c>
      <c r="C22" s="0" t="inlineStr">
        <is>
          <t xml:space="preserve">2026-08</t>
        </is>
      </c>
      <c r="D22" s="0" t="inlineStr">
        <is>
          <t xml:space="preserve">2026-09</t>
        </is>
      </c>
      <c r="E22" s="8">
        <v>2</v>
      </c>
      <c r="F22" s="2">
        <v>9049.60</v>
      </c>
      <c r="G22" s="2">
        <v>1075999.00</v>
      </c>
      <c r="H22" s="2">
        <v>-1066949.40</v>
      </c>
    </row>
    <row r="23">
      <c r="A23" s="0" t="inlineStr">
        <is>
          <t xml:space="preserve">101020111</t>
        </is>
      </c>
      <c r="B23" s="0" t="inlineStr">
        <is>
          <t xml:space="preserve">CASH IN BANK - PNB PESO</t>
        </is>
      </c>
      <c r="C23" s="0" t="inlineStr">
        <is>
          <t xml:space="preserve">2026-09</t>
        </is>
      </c>
      <c r="D23" s="0" t="inlineStr">
        <is>
          <t xml:space="preserve">2026-10</t>
        </is>
      </c>
      <c r="E23" s="8">
        <v>1</v>
      </c>
      <c r="F23" s="2">
        <v>0.00</v>
      </c>
      <c r="G23" s="2">
        <v>1001999.00</v>
      </c>
      <c r="H23" s="2">
        <v>-1001999.00</v>
      </c>
    </row>
    <row r="24">
      <c r="A24" s="0" t="inlineStr">
        <is>
          <t xml:space="preserve">101020112</t>
        </is>
      </c>
      <c r="B24" s="0" t="inlineStr">
        <is>
          <t xml:space="preserve">CASH IN BANK - PNB PESO2</t>
        </is>
      </c>
      <c r="C24" s="0" t="inlineStr">
        <is>
          <t xml:space="preserve">2026-08</t>
        </is>
      </c>
      <c r="D24" s="0" t="inlineStr">
        <is>
          <t xml:space="preserve">2026-09</t>
        </is>
      </c>
      <c r="E24" s="8">
        <v>1</v>
      </c>
      <c r="F24" s="2">
        <v>1075999.00</v>
      </c>
      <c r="G24" s="2">
        <v>0.00</v>
      </c>
      <c r="H24" s="2">
        <v>1075999.00</v>
      </c>
    </row>
    <row r="25">
      <c r="A25" s="0" t="inlineStr">
        <is>
          <t xml:space="preserve">101020112</t>
        </is>
      </c>
      <c r="B25" s="0" t="inlineStr">
        <is>
          <t xml:space="preserve">CASH IN BANK - PNB PESO2</t>
        </is>
      </c>
      <c r="C25" s="0" t="inlineStr">
        <is>
          <t xml:space="preserve">2026-09</t>
        </is>
      </c>
      <c r="D25" s="0" t="inlineStr">
        <is>
          <t xml:space="preserve">2026-10</t>
        </is>
      </c>
      <c r="E25" s="8">
        <v>1</v>
      </c>
      <c r="F25" s="2">
        <v>1001999.00</v>
      </c>
      <c r="G25" s="2">
        <v>0.00</v>
      </c>
      <c r="H25" s="2">
        <v>1001999.00</v>
      </c>
    </row>
    <row r="27">
      <c r="A27" s="9" t="inlineStr">
        <is>
          <t xml:space="preserve">BDO PESO 1, Aug 31: the Difference to reach by ticking would become 2,204,535.35 instead of 2,290,814.93 (change -86,279.58).</t>
        </is>
      </c>
    </row>
    <row r="28">
      <c r="A28" s="0" t="inlineStr">
        <is>
          <t xml:space="preserve">Difference Change = how that month's Difference (Adjusted Bank - Adjusted Book) moves: a deposit in transit added to the list raises it, an outstanding check added lowers it.</t>
        </is>
      </c>
    </row>
    <row r="29">
      <c r="A29" s="0" t="inlineStr">
        <is>
          <t xml:space="preserve">A voided transfer between two of our own accounts (MBTC PESO 1 / 2, PNB PESO / PNB PESO 2) shows on both: an outstanding check on one and a deposit in transit on the other.</t>
        </is>
      </c>
    </row>
    <row r="30">
      <c r="A30" s="0" t="inlineStr">
        <is>
          <t xml:space="preserve">Nothing has been changed in the system yet; the fix waits for your confirmation.</t>
        </is>
      </c>
    </row>
  </sheetData>
  <pageSetup orientation="landscape"/>
</worksheet>
</file>

<file path=xl/worksheets/sheet2.xml><?xml version="1.0" encoding="utf-8"?>
<worksheet xmlns="http://schemas.openxmlformats.org/spreadsheetml/2006/main">
  <sheetViews>
    <sheetView workbookViewId="0">
      <pane ySplit="4" topLeftCell="A5" activePane="bottomLeft" state="frozen"/>
    </sheetView>
  </sheetViews>
  <cols>
    <col min="1" max="1" width="11" customWidth="1"/>
    <col min="2" max="2" width="26" customWidth="1"/>
    <col min="3" max="3" width="17" customWidth="1"/>
    <col min="4" max="4" width="9" customWidth="1"/>
    <col min="5" max="5" width="13" customWidth="1"/>
    <col min="6" max="6" width="11" customWidth="1"/>
    <col min="7" max="7" width="10" customWidth="1"/>
    <col min="8" max="8" width="24" customWidth="1"/>
    <col min="9" max="9" width="12" customWidth="1"/>
    <col min="10" max="10" width="30" customWidth="1"/>
    <col min="11" max="11" width="11" customWidth="1"/>
    <col min="12" max="12" width="15" customWidth="1"/>
    <col min="13" max="13" width="11" customWidth="1"/>
    <col min="14" max="14" width="10" customWidth="1"/>
    <col min="15" max="15" width="11" customWidth="1"/>
    <col min="16" max="16" width="10" customWidth="1"/>
    <col min="17" max="17" width="30" customWidth="1"/>
    <col min="18" max="18" width="9" customWidth="1"/>
    <col min="19" max="19" width="9" customWidth="1"/>
    <col min="20" max="20" width="10" customWidth="1"/>
    <col min="21" max="21" width="30" customWidth="1"/>
  </cols>
  <sheetData>
    <row r="1">
      <c r="A1" s="6" t="inlineStr">
        <is>
          <t xml:space="preserve">Items reversed in a later month</t>
        </is>
      </c>
    </row>
    <row r="2">
      <c r="A2" s="0" t="inlineStr">
        <is>
          <t xml:space="preserve">One row per bank recon item. Check the bank statement of the Original Month and the voucher, then fill the last two columns.</t>
        </is>
      </c>
    </row>
    <row r="4" ht="40" customHeight="1">
      <c r="A4" s="1" t="inlineStr">
        <is>
          <t xml:space="preserve">Account</t>
        </is>
      </c>
      <c r="B4" s="1" t="inlineStr">
        <is>
          <t xml:space="preserve">Account Name</t>
        </is>
      </c>
      <c r="C4" s="1" t="inlineStr">
        <is>
          <t xml:space="preserve">Kind</t>
        </is>
      </c>
      <c r="D4" s="1" t="inlineStr">
        <is>
          <t xml:space="preserve">Recon ID</t>
        </is>
      </c>
      <c r="E4" s="1" t="inlineStr">
        <is>
          <t xml:space="preserve">Source</t>
        </is>
      </c>
      <c r="F4" s="1" t="inlineStr">
        <is>
          <t xml:space="preserve">Payment Ref</t>
        </is>
      </c>
      <c r="G4" s="1" t="inlineStr">
        <is>
          <t xml:space="preserve">Voucher / Ref</t>
        </is>
      </c>
      <c r="H4" s="1" t="inlineStr">
        <is>
          <t xml:space="preserve">CV # / Control No</t>
        </is>
      </c>
      <c r="I4" s="1" t="inlineStr">
        <is>
          <t xml:space="preserve">Check No</t>
        </is>
      </c>
      <c r="J4" s="1" t="inlineStr">
        <is>
          <t xml:space="preserve">Payee</t>
        </is>
      </c>
      <c r="K4" s="1" t="inlineStr">
        <is>
          <t xml:space="preserve">Item Date</t>
        </is>
      </c>
      <c r="L4" s="1" t="inlineStr">
        <is>
          <t xml:space="preserve">Amount</t>
        </is>
      </c>
      <c r="M4" s="1" t="inlineStr">
        <is>
          <t xml:space="preserve">Original GL Date</t>
        </is>
      </c>
      <c r="N4" s="1" t="inlineStr">
        <is>
          <t xml:space="preserve">Original Ticket</t>
        </is>
      </c>
      <c r="O4" s="1" t="inlineStr">
        <is>
          <t xml:space="preserve">Reversal GL Date</t>
        </is>
      </c>
      <c r="P4" s="1" t="inlineStr">
        <is>
          <t xml:space="preserve">Reversal Ticket</t>
        </is>
      </c>
      <c r="Q4" s="1" t="inlineStr">
        <is>
          <t xml:space="preserve">Reason</t>
        </is>
      </c>
      <c r="R4" s="1" t="inlineStr">
        <is>
          <t xml:space="preserve">Original Month</t>
        </is>
      </c>
      <c r="S4" s="1" t="inlineStr">
        <is>
          <t xml:space="preserve">Reversed In</t>
        </is>
      </c>
      <c r="T4" s="1" t="inlineStr">
        <is>
          <t xml:space="preserve">Verified (Y/N)</t>
        </is>
      </c>
      <c r="U4" s="1" t="inlineStr">
        <is>
          <t xml:space="preserve">Accountant Remarks</t>
        </is>
      </c>
    </row>
    <row r="5">
      <c r="A5" s="0" t="inlineStr">
        <is>
          <t xml:space="preserve">101020101</t>
        </is>
      </c>
      <c r="B5" s="0" t="inlineStr">
        <is>
          <t xml:space="preserve">CASH IN BANK - BDO PESO1</t>
        </is>
      </c>
      <c r="C5" s="0" t="inlineStr">
        <is>
          <t xml:space="preserve">Outstanding check</t>
        </is>
      </c>
      <c r="D5" s="8">
        <v>784</v>
      </c>
      <c r="E5" s="0" t="inlineStr">
        <is>
          <t xml:space="preserve">AP-PAYMENT</t>
        </is>
      </c>
      <c r="F5" s="0" t="inlineStr">
        <is>
          <t xml:space="preserve">26750</t>
        </is>
      </c>
      <c r="G5" s="0" t="inlineStr">
        <is>
          <t xml:space="preserve">666</t>
        </is>
      </c>
      <c r="H5" s="0" t="inlineStr">
        <is>
          <t xml:space="preserve">CV2608-007BDO2384466</t>
        </is>
      </c>
      <c r="I5" s="0" t="inlineStr">
        <is>
          <t xml:space="preserve">2384466</t>
        </is>
      </c>
      <c r="J5" s="0" t="inlineStr">
        <is>
          <t xml:space="preserve">JFC-TACLOBAN PETTY CASH FUND</t>
        </is>
      </c>
      <c r="K5" s="3">
        <v>46238</v>
      </c>
      <c r="L5" s="2">
        <v>36270.70</v>
      </c>
      <c r="M5" s="3">
        <v>46238</v>
      </c>
      <c r="N5" s="0" t="inlineStr">
        <is>
          <t xml:space="preserve">12044</t>
        </is>
      </c>
      <c r="O5" s="3">
        <v>46286</v>
      </c>
      <c r="P5" s="0" t="inlineStr">
        <is>
          <t xml:space="preserve">12057</t>
        </is>
      </c>
      <c r="Q5" s="0" t="inlineStr">
        <is>
          <t xml:space="preserve">VOIDED</t>
        </is>
      </c>
      <c r="R5" s="0" t="inlineStr">
        <is>
          <t xml:space="preserve">2026-08</t>
        </is>
      </c>
      <c r="S5" s="0" t="inlineStr">
        <is>
          <t xml:space="preserve">2026-09</t>
        </is>
      </c>
      <c r="T5" s="0"/>
      <c r="U5" s="0"/>
    </row>
    <row r="6">
      <c r="A6" s="0" t="inlineStr">
        <is>
          <t xml:space="preserve">101020101</t>
        </is>
      </c>
      <c r="B6" s="0" t="inlineStr">
        <is>
          <t xml:space="preserve">CASH IN BANK - BDO PESO1</t>
        </is>
      </c>
      <c r="C6" s="0" t="inlineStr">
        <is>
          <t xml:space="preserve">Outstanding check</t>
        </is>
      </c>
      <c r="D6" s="8">
        <v>986</v>
      </c>
      <c r="E6" s="0" t="inlineStr">
        <is>
          <t xml:space="preserve">AP-PAYMENT</t>
        </is>
      </c>
      <c r="F6" s="0" t="inlineStr">
        <is>
          <t xml:space="preserve">28481</t>
        </is>
      </c>
      <c r="G6" s="0" t="inlineStr">
        <is>
          <t xml:space="preserve">685</t>
        </is>
      </c>
      <c r="H6" s="0" t="inlineStr">
        <is>
          <t xml:space="preserve">CV2608-024BDO2384473</t>
        </is>
      </c>
      <c r="I6" s="0" t="inlineStr">
        <is>
          <t xml:space="preserve">2384473</t>
        </is>
      </c>
      <c r="J6" s="0" t="inlineStr">
        <is>
          <t xml:space="preserve">JFC-DUMAGUETE PETTY CASH FUND</t>
        </is>
      </c>
      <c r="K6" s="3">
        <v>46244</v>
      </c>
      <c r="L6" s="2">
        <v>14734.50</v>
      </c>
      <c r="M6" s="3">
        <v>46244</v>
      </c>
      <c r="N6" s="0" t="inlineStr">
        <is>
          <t xml:space="preserve">12854</t>
        </is>
      </c>
      <c r="O6" s="3">
        <v>46287</v>
      </c>
      <c r="P6" s="0" t="inlineStr">
        <is>
          <t xml:space="preserve">13117</t>
        </is>
      </c>
      <c r="Q6" s="0" t="inlineStr">
        <is>
          <t xml:space="preserve">VOIDED</t>
        </is>
      </c>
      <c r="R6" s="0" t="inlineStr">
        <is>
          <t xml:space="preserve">2026-08</t>
        </is>
      </c>
      <c r="S6" s="0" t="inlineStr">
        <is>
          <t xml:space="preserve">2026-09</t>
        </is>
      </c>
      <c r="T6" s="0"/>
      <c r="U6" s="0"/>
    </row>
    <row r="7">
      <c r="A7" s="0" t="inlineStr">
        <is>
          <t xml:space="preserve">101020101</t>
        </is>
      </c>
      <c r="B7" s="0" t="inlineStr">
        <is>
          <t xml:space="preserve">CASH IN BANK - BDO PESO1</t>
        </is>
      </c>
      <c r="C7" s="0" t="inlineStr">
        <is>
          <t xml:space="preserve">Outstanding check</t>
        </is>
      </c>
      <c r="D7" s="8">
        <v>1074</v>
      </c>
      <c r="E7" s="0" t="inlineStr">
        <is>
          <t xml:space="preserve">AP-PAYMENT</t>
        </is>
      </c>
      <c r="F7" s="0" t="inlineStr">
        <is>
          <t xml:space="preserve">28772</t>
        </is>
      </c>
      <c r="G7" s="0" t="inlineStr">
        <is>
          <t xml:space="preserve">707</t>
        </is>
      </c>
      <c r="H7" s="0" t="inlineStr">
        <is>
          <t xml:space="preserve">CV2608-046BDO2384487</t>
        </is>
      </c>
      <c r="I7" s="0" t="inlineStr">
        <is>
          <t xml:space="preserve">2384487</t>
        </is>
      </c>
      <c r="J7" s="0" t="inlineStr">
        <is>
          <t xml:space="preserve">JFC-DUMAGUETE PETTY CASH FUND</t>
        </is>
      </c>
      <c r="K7" s="3">
        <v>46247</v>
      </c>
      <c r="L7" s="2">
        <v>17637.19</v>
      </c>
      <c r="M7" s="3">
        <v>46247</v>
      </c>
      <c r="N7" s="0" t="inlineStr">
        <is>
          <t xml:space="preserve">13033</t>
        </is>
      </c>
      <c r="O7" s="3">
        <v>46287</v>
      </c>
      <c r="P7" s="0" t="inlineStr">
        <is>
          <t xml:space="preserve">13110</t>
        </is>
      </c>
      <c r="Q7" s="0" t="inlineStr">
        <is>
          <t xml:space="preserve">VOIDED</t>
        </is>
      </c>
      <c r="R7" s="0" t="inlineStr">
        <is>
          <t xml:space="preserve">2026-08</t>
        </is>
      </c>
      <c r="S7" s="0" t="inlineStr">
        <is>
          <t xml:space="preserve">2026-09</t>
        </is>
      </c>
      <c r="T7" s="0"/>
      <c r="U7" s="0"/>
    </row>
    <row r="8">
      <c r="A8" s="0" t="inlineStr">
        <is>
          <t xml:space="preserve">101020101</t>
        </is>
      </c>
      <c r="B8" s="0" t="inlineStr">
        <is>
          <t xml:space="preserve">CASH IN BANK - BDO PESO1</t>
        </is>
      </c>
      <c r="C8" s="0" t="inlineStr">
        <is>
          <t xml:space="preserve">Outstanding check</t>
        </is>
      </c>
      <c r="D8" s="8">
        <v>2720</v>
      </c>
      <c r="E8" s="0" t="inlineStr">
        <is>
          <t xml:space="preserve">AP-PAYMENT</t>
        </is>
      </c>
      <c r="F8" s="0" t="inlineStr">
        <is>
          <t xml:space="preserve">32117</t>
        </is>
      </c>
      <c r="G8" s="0" t="inlineStr">
        <is>
          <t xml:space="preserve">736</t>
        </is>
      </c>
      <c r="H8" s="0" t="inlineStr">
        <is>
          <t xml:space="preserve">CV2608-051BDO2384474</t>
        </is>
      </c>
      <c r="I8" s="0" t="inlineStr">
        <is>
          <t xml:space="preserve">2384474</t>
        </is>
      </c>
      <c r="J8" s="0" t="inlineStr">
        <is>
          <t xml:space="preserve">JFC-DUMAGUETE PETTY CASH FUND</t>
        </is>
      </c>
      <c r="K8" s="3">
        <v>46247</v>
      </c>
      <c r="L8" s="2">
        <v>17637.19</v>
      </c>
      <c r="M8" s="3">
        <v>46247</v>
      </c>
      <c r="N8" s="0" t="inlineStr">
        <is>
          <t xml:space="preserve">15607</t>
        </is>
      </c>
      <c r="O8" s="3">
        <v>46290</v>
      </c>
      <c r="P8" s="0" t="inlineStr">
        <is>
          <t xml:space="preserve">15609</t>
        </is>
      </c>
      <c r="Q8" s="0" t="inlineStr">
        <is>
          <t xml:space="preserve">VOIDED</t>
        </is>
      </c>
      <c r="R8" s="0" t="inlineStr">
        <is>
          <t xml:space="preserve">2026-08</t>
        </is>
      </c>
      <c r="S8" s="0" t="inlineStr">
        <is>
          <t xml:space="preserve">2026-09</t>
        </is>
      </c>
      <c r="T8" s="0"/>
      <c r="U8" s="0"/>
    </row>
    <row r="9">
      <c r="A9" s="0" t="inlineStr">
        <is>
          <t xml:space="preserve">101020101</t>
        </is>
      </c>
      <c r="B9" s="0" t="inlineStr">
        <is>
          <t xml:space="preserve">CASH IN BANK - BDO PESO1</t>
        </is>
      </c>
      <c r="C9" s="0" t="inlineStr">
        <is>
          <t xml:space="preserve">Outstanding check</t>
        </is>
      </c>
      <c r="D9" s="8">
        <v>2920</v>
      </c>
      <c r="E9" s="0" t="inlineStr">
        <is>
          <t xml:space="preserve">CASH-ADVANCE</t>
        </is>
      </c>
      <c r="F9" s="0" t="inlineStr">
        <is>
          <t xml:space="preserve">32424</t>
        </is>
      </c>
      <c r="G9" s="0" t="inlineStr">
        <is>
          <t xml:space="preserve">739</t>
        </is>
      </c>
      <c r="H9" s="0" t="inlineStr">
        <is>
          <t xml:space="preserve">CV2608-050BDO2384490</t>
        </is>
      </c>
      <c r="I9" s="0" t="inlineStr">
        <is>
          <t xml:space="preserve">2384490</t>
        </is>
      </c>
      <c r="J9" s="0" t="inlineStr">
        <is>
          <t xml:space="preserve">IRLITO AVENIDO</t>
        </is>
      </c>
      <c r="K9" s="3">
        <v>46248</v>
      </c>
      <c r="L9" s="2">
        <v>500000.00</v>
      </c>
      <c r="M9" s="3">
        <v>46248</v>
      </c>
      <c r="N9" s="0" t="inlineStr">
        <is>
          <t xml:space="preserve">15830</t>
        </is>
      </c>
      <c r="O9" s="3">
        <v>46290</v>
      </c>
      <c r="P9" s="0" t="inlineStr">
        <is>
          <t xml:space="preserve">15841</t>
        </is>
      </c>
      <c r="Q9" s="0" t="inlineStr">
        <is>
          <t xml:space="preserve">VOIDED - CASH ADVANCE REVERSED</t>
        </is>
      </c>
      <c r="R9" s="0" t="inlineStr">
        <is>
          <t xml:space="preserve">2026-08</t>
        </is>
      </c>
      <c r="S9" s="0" t="inlineStr">
        <is>
          <t xml:space="preserve">2026-09</t>
        </is>
      </c>
      <c r="T9" s="0"/>
      <c r="U9" s="0"/>
    </row>
    <row r="10">
      <c r="A10" s="0" t="inlineStr">
        <is>
          <t xml:space="preserve">101020101</t>
        </is>
      </c>
      <c r="B10" s="0" t="inlineStr">
        <is>
          <t xml:space="preserve">CASH IN BANK - BDO PESO1</t>
        </is>
      </c>
      <c r="C10" s="0" t="inlineStr">
        <is>
          <t xml:space="preserve">Deposit in transit</t>
        </is>
      </c>
      <c r="D10" s="8">
        <v>2921</v>
      </c>
      <c r="E10" s="0" t="inlineStr">
        <is>
          <t xml:space="preserve">CASH-ADVANCE</t>
        </is>
      </c>
      <c r="F10" s="0" t="inlineStr">
        <is>
          <t xml:space="preserve">32424</t>
        </is>
      </c>
      <c r="G10" s="0" t="inlineStr">
        <is>
          <t xml:space="preserve">739</t>
        </is>
      </c>
      <c r="H10" s="0" t="inlineStr">
        <is>
          <t xml:space="preserve">CV2608-050BDO2384490</t>
        </is>
      </c>
      <c r="I10" s="0" t="inlineStr">
        <is>
          <t xml:space="preserve">2384490</t>
        </is>
      </c>
      <c r="J10" s="0" t="inlineStr">
        <is>
          <t xml:space="preserve">IRLITO AVENIDO</t>
        </is>
      </c>
      <c r="K10" s="3">
        <v>46248</v>
      </c>
      <c r="L10" s="2">
        <v>500000.00</v>
      </c>
      <c r="M10" s="3">
        <v>46248</v>
      </c>
      <c r="N10" s="0" t="inlineStr">
        <is>
          <t xml:space="preserve">15830</t>
        </is>
      </c>
      <c r="O10" s="3">
        <v>46290</v>
      </c>
      <c r="P10" s="0" t="inlineStr">
        <is>
          <t xml:space="preserve">15841</t>
        </is>
      </c>
      <c r="Q10" s="0" t="inlineStr">
        <is>
          <t xml:space="preserve">VOIDED - CASH ADVANCE REVERSED</t>
        </is>
      </c>
      <c r="R10" s="0" t="inlineStr">
        <is>
          <t xml:space="preserve">2026-08</t>
        </is>
      </c>
      <c r="S10" s="0" t="inlineStr">
        <is>
          <t xml:space="preserve">2026-09</t>
        </is>
      </c>
      <c r="T10" s="0"/>
      <c r="U10" s="0"/>
    </row>
    <row r="11">
      <c r="A11" s="0" t="inlineStr">
        <is>
          <t xml:space="preserve">101020102</t>
        </is>
      </c>
      <c r="B11" s="0" t="inlineStr">
        <is>
          <t xml:space="preserve">CASH IN BANK - BDO PESO2</t>
        </is>
      </c>
      <c r="C11" s="0" t="inlineStr">
        <is>
          <t xml:space="preserve">Outstanding check</t>
        </is>
      </c>
      <c r="D11" s="8">
        <v>38</v>
      </c>
      <c r="E11" s="0" t="inlineStr">
        <is>
          <t xml:space="preserve">AP-PAYMENT</t>
        </is>
      </c>
      <c r="F11" s="0" t="inlineStr">
        <is>
          <t xml:space="preserve">19795</t>
        </is>
      </c>
      <c r="G11" s="0" t="inlineStr">
        <is>
          <t xml:space="preserve">628</t>
        </is>
      </c>
      <c r="H11" s="0" t="inlineStr">
        <is>
          <t xml:space="preserve">GJ 2608-001</t>
        </is>
      </c>
      <c r="I11" s="0"/>
      <c r="J11" s="0" t="inlineStr">
        <is>
          <t xml:space="preserve">BUREAU OF CUSTOMS</t>
        </is>
      </c>
      <c r="K11" s="3">
        <v>46279</v>
      </c>
      <c r="L11" s="2">
        <v>100255.99</v>
      </c>
      <c r="M11" s="3">
        <v>46238</v>
      </c>
      <c r="N11" s="0" t="inlineStr">
        <is>
          <t xml:space="preserve">8369</t>
        </is>
      </c>
      <c r="O11" s="3">
        <v>46280</v>
      </c>
      <c r="P11" s="0" t="inlineStr">
        <is>
          <t xml:space="preserve">8956</t>
        </is>
      </c>
      <c r="Q11" s="0" t="inlineStr">
        <is>
          <t xml:space="preserve">VOIDED</t>
        </is>
      </c>
      <c r="R11" s="0" t="inlineStr">
        <is>
          <t xml:space="preserve">2026-08</t>
        </is>
      </c>
      <c r="S11" s="0" t="inlineStr">
        <is>
          <t xml:space="preserve">2026-09</t>
        </is>
      </c>
      <c r="T11" s="0"/>
      <c r="U11" s="0"/>
    </row>
    <row r="12">
      <c r="A12" s="0" t="inlineStr">
        <is>
          <t xml:space="preserve">101020102</t>
        </is>
      </c>
      <c r="B12" s="0" t="inlineStr">
        <is>
          <t xml:space="preserve">CASH IN BANK - BDO PESO2</t>
        </is>
      </c>
      <c r="C12" s="0" t="inlineStr">
        <is>
          <t xml:space="preserve">Outstanding check</t>
        </is>
      </c>
      <c r="D12" s="8">
        <v>3327</v>
      </c>
      <c r="E12" s="0" t="inlineStr">
        <is>
          <t xml:space="preserve">AP-PAYMENT</t>
        </is>
      </c>
      <c r="F12" s="0" t="inlineStr">
        <is>
          <t xml:space="preserve">32873</t>
        </is>
      </c>
      <c r="G12" s="0" t="inlineStr">
        <is>
          <t xml:space="preserve">768</t>
        </is>
      </c>
      <c r="H12" s="0" t="inlineStr">
        <is>
          <t xml:space="preserve">X2608-022BDO2246158</t>
        </is>
      </c>
      <c r="I12" s="0" t="inlineStr">
        <is>
          <t xml:space="preserve">2246158</t>
        </is>
      </c>
      <c r="J12" s="0" t="inlineStr">
        <is>
          <t xml:space="preserve">METS COLD STORAGE SERVICES, INC.</t>
        </is>
      </c>
      <c r="K12" s="3">
        <v>46248</v>
      </c>
      <c r="L12" s="2">
        <v>1088776.16</v>
      </c>
      <c r="M12" s="3">
        <v>46248</v>
      </c>
      <c r="N12" s="0" t="inlineStr">
        <is>
          <t xml:space="preserve">16262</t>
        </is>
      </c>
      <c r="O12" s="3">
        <v>46291</v>
      </c>
      <c r="P12" s="0" t="inlineStr">
        <is>
          <t xml:space="preserve">16279</t>
        </is>
      </c>
      <c r="Q12" s="0" t="inlineStr">
        <is>
          <t xml:space="preserve">VOIDED</t>
        </is>
      </c>
      <c r="R12" s="0" t="inlineStr">
        <is>
          <t xml:space="preserve">2026-08</t>
        </is>
      </c>
      <c r="S12" s="0" t="inlineStr">
        <is>
          <t xml:space="preserve">2026-09</t>
        </is>
      </c>
      <c r="T12" s="0"/>
      <c r="U12" s="0"/>
    </row>
    <row r="13">
      <c r="A13" s="0" t="inlineStr">
        <is>
          <t xml:space="preserve">101020102</t>
        </is>
      </c>
      <c r="B13" s="0" t="inlineStr">
        <is>
          <t xml:space="preserve">CASH IN BANK - BDO PESO2</t>
        </is>
      </c>
      <c r="C13" s="0" t="inlineStr">
        <is>
          <t xml:space="preserve">Outstanding check</t>
        </is>
      </c>
      <c r="D13" s="8">
        <v>3331</v>
      </c>
      <c r="E13" s="0" t="inlineStr">
        <is>
          <t xml:space="preserve">AP-PAYMENT</t>
        </is>
      </c>
      <c r="F13" s="0" t="inlineStr">
        <is>
          <t xml:space="preserve">32877</t>
        </is>
      </c>
      <c r="G13" s="0" t="inlineStr">
        <is>
          <t xml:space="preserve">769</t>
        </is>
      </c>
      <c r="H13" s="0" t="inlineStr">
        <is>
          <t xml:space="preserve">X2608-023BDO2246159</t>
        </is>
      </c>
      <c r="I13" s="0" t="inlineStr">
        <is>
          <t xml:space="preserve">2246159</t>
        </is>
      </c>
      <c r="J13" s="0" t="inlineStr">
        <is>
          <t xml:space="preserve">VVS COLD STORAGE &amp; PROCESSING PLANT</t>
        </is>
      </c>
      <c r="K13" s="3">
        <v>46248</v>
      </c>
      <c r="L13" s="2">
        <v>5914761.28</v>
      </c>
      <c r="M13" s="3">
        <v>46248</v>
      </c>
      <c r="N13" s="0" t="inlineStr">
        <is>
          <t xml:space="preserve">16267</t>
        </is>
      </c>
      <c r="O13" s="3">
        <v>46291</v>
      </c>
      <c r="P13" s="0" t="inlineStr">
        <is>
          <t xml:space="preserve">16277</t>
        </is>
      </c>
      <c r="Q13" s="0" t="inlineStr">
        <is>
          <t xml:space="preserve">VOIDED</t>
        </is>
      </c>
      <c r="R13" s="0" t="inlineStr">
        <is>
          <t xml:space="preserve">2026-08</t>
        </is>
      </c>
      <c r="S13" s="0" t="inlineStr">
        <is>
          <t xml:space="preserve">2026-09</t>
        </is>
      </c>
      <c r="T13" s="0"/>
      <c r="U13" s="0"/>
    </row>
    <row r="14">
      <c r="A14" s="0" t="inlineStr">
        <is>
          <t xml:space="preserve">101020107</t>
        </is>
      </c>
      <c r="B14" s="0" t="inlineStr">
        <is>
          <t xml:space="preserve">CASH IN BANK - MBTC PESO1</t>
        </is>
      </c>
      <c r="C14" s="0" t="inlineStr">
        <is>
          <t xml:space="preserve">Outstanding check</t>
        </is>
      </c>
      <c r="D14" s="8">
        <v>3002</v>
      </c>
      <c r="E14" s="0" t="inlineStr">
        <is>
          <t xml:space="preserve">CASH-ADVANCE</t>
        </is>
      </c>
      <c r="F14" s="0" t="inlineStr">
        <is>
          <t xml:space="preserve">32509</t>
        </is>
      </c>
      <c r="G14" s="0" t="inlineStr">
        <is>
          <t xml:space="preserve">753</t>
        </is>
      </c>
      <c r="H14" s="0" t="inlineStr">
        <is>
          <t xml:space="preserve">CV2608-068MB3084291391</t>
        </is>
      </c>
      <c r="I14" s="0" t="inlineStr">
        <is>
          <t xml:space="preserve">3084291391</t>
        </is>
      </c>
      <c r="J14" s="0" t="inlineStr">
        <is>
          <t xml:space="preserve">JUDPHILAN FOODS CORP.-CEBU</t>
        </is>
      </c>
      <c r="K14" s="3">
        <v>46248</v>
      </c>
      <c r="L14" s="2">
        <v>1256904.23</v>
      </c>
      <c r="M14" s="3">
        <v>46248</v>
      </c>
      <c r="N14" s="0" t="inlineStr">
        <is>
          <t xml:space="preserve">15905</t>
        </is>
      </c>
      <c r="O14" s="3">
        <v>46295</v>
      </c>
      <c r="P14" s="0" t="inlineStr">
        <is>
          <t xml:space="preserve">18372</t>
        </is>
      </c>
      <c r="Q14" s="0" t="inlineStr">
        <is>
          <t xml:space="preserve">VOIDED - CASH ADVANCE REVERSED</t>
        </is>
      </c>
      <c r="R14" s="0" t="inlineStr">
        <is>
          <t xml:space="preserve">2026-08</t>
        </is>
      </c>
      <c r="S14" s="0" t="inlineStr">
        <is>
          <t xml:space="preserve">2026-09</t>
        </is>
      </c>
      <c r="T14" s="0"/>
      <c r="U14" s="0"/>
    </row>
    <row r="15">
      <c r="A15" s="0" t="inlineStr">
        <is>
          <t xml:space="preserve">101020108</t>
        </is>
      </c>
      <c r="B15" s="0" t="inlineStr">
        <is>
          <t xml:space="preserve">CASH IN BANK - MBTC PESO2</t>
        </is>
      </c>
      <c r="C15" s="0" t="inlineStr">
        <is>
          <t xml:space="preserve">Deposit in transit</t>
        </is>
      </c>
      <c r="D15" s="8">
        <v>3003</v>
      </c>
      <c r="E15" s="0" t="inlineStr">
        <is>
          <t xml:space="preserve">CASH-ADVANCE</t>
        </is>
      </c>
      <c r="F15" s="0" t="inlineStr">
        <is>
          <t xml:space="preserve">32509</t>
        </is>
      </c>
      <c r="G15" s="0" t="inlineStr">
        <is>
          <t xml:space="preserve">753</t>
        </is>
      </c>
      <c r="H15" s="0" t="inlineStr">
        <is>
          <t xml:space="preserve">CV2608-068MB3084291391</t>
        </is>
      </c>
      <c r="I15" s="0" t="inlineStr">
        <is>
          <t xml:space="preserve">3084291391</t>
        </is>
      </c>
      <c r="J15" s="0" t="inlineStr">
        <is>
          <t xml:space="preserve">JUDPHILAN FOODS CORP.-CEBU</t>
        </is>
      </c>
      <c r="K15" s="3">
        <v>46248</v>
      </c>
      <c r="L15" s="2">
        <v>1256904.23</v>
      </c>
      <c r="M15" s="3">
        <v>46248</v>
      </c>
      <c r="N15" s="0" t="inlineStr">
        <is>
          <t xml:space="preserve">15905</t>
        </is>
      </c>
      <c r="O15" s="3">
        <v>46295</v>
      </c>
      <c r="P15" s="0" t="inlineStr">
        <is>
          <t xml:space="preserve">18372</t>
        </is>
      </c>
      <c r="Q15" s="0" t="inlineStr">
        <is>
          <t xml:space="preserve">VOIDED - CASH ADVANCE REVERSED</t>
        </is>
      </c>
      <c r="R15" s="0" t="inlineStr">
        <is>
          <t xml:space="preserve">2026-08</t>
        </is>
      </c>
      <c r="S15" s="0" t="inlineStr">
        <is>
          <t xml:space="preserve">2026-09</t>
        </is>
      </c>
      <c r="T15" s="0"/>
      <c r="U15" s="0"/>
    </row>
    <row r="16">
      <c r="A16" s="0" t="inlineStr">
        <is>
          <t xml:space="preserve">101020111</t>
        </is>
      </c>
      <c r="B16" s="0" t="inlineStr">
        <is>
          <t xml:space="preserve">CASH IN BANK - PNB PESO</t>
        </is>
      </c>
      <c r="C16" s="0" t="inlineStr">
        <is>
          <t xml:space="preserve">Deposit in transit</t>
        </is>
      </c>
      <c r="D16" s="8">
        <v>32</v>
      </c>
      <c r="E16" s="0" t="inlineStr">
        <is>
          <t xml:space="preserve">AR-PAYMENT</t>
        </is>
      </c>
      <c r="F16" s="0" t="inlineStr">
        <is>
          <t xml:space="preserve">14107</t>
        </is>
      </c>
      <c r="G16" s="0" t="inlineStr">
        <is>
          <t xml:space="preserve">14107</t>
        </is>
      </c>
      <c r="H16" s="0" t="inlineStr">
        <is>
          <t xml:space="preserve">F2608-01-A</t>
        </is>
      </c>
      <c r="I16" s="0"/>
      <c r="J16" s="0" t="inlineStr">
        <is>
          <t xml:space="preserve">CLIENT COLLECTION - MONTESOR, RANULFO</t>
        </is>
      </c>
      <c r="K16" s="3">
        <v>46235</v>
      </c>
      <c r="L16" s="2">
        <v>9049.60</v>
      </c>
      <c r="M16" s="3">
        <v>46235</v>
      </c>
      <c r="N16" s="0" t="inlineStr">
        <is>
          <t xml:space="preserve">5185</t>
        </is>
      </c>
      <c r="O16" s="3">
        <v>46275</v>
      </c>
      <c r="P16" s="0" t="inlineStr">
        <is>
          <t xml:space="preserve">5194</t>
        </is>
      </c>
      <c r="Q16" s="0" t="inlineStr">
        <is>
          <t xml:space="preserve">REVERSED</t>
        </is>
      </c>
      <c r="R16" s="0" t="inlineStr">
        <is>
          <t xml:space="preserve">2026-08</t>
        </is>
      </c>
      <c r="S16" s="0" t="inlineStr">
        <is>
          <t xml:space="preserve">2026-09</t>
        </is>
      </c>
      <c r="T16" s="0"/>
      <c r="U16" s="0"/>
    </row>
    <row r="17">
      <c r="A17" s="0" t="inlineStr">
        <is>
          <t xml:space="preserve">101020111</t>
        </is>
      </c>
      <c r="B17" s="0" t="inlineStr">
        <is>
          <t xml:space="preserve">CASH IN BANK - PNB PESO</t>
        </is>
      </c>
      <c r="C17" s="0" t="inlineStr">
        <is>
          <t xml:space="preserve">Outstanding check</t>
        </is>
      </c>
      <c r="D17" s="8">
        <v>809</v>
      </c>
      <c r="E17" s="0" t="inlineStr">
        <is>
          <t xml:space="preserve">CASH-ADVANCE</t>
        </is>
      </c>
      <c r="F17" s="0" t="inlineStr">
        <is>
          <t xml:space="preserve">27019</t>
        </is>
      </c>
      <c r="G17" s="0" t="inlineStr">
        <is>
          <t xml:space="preserve">670</t>
        </is>
      </c>
      <c r="H17" s="0" t="inlineStr">
        <is>
          <t xml:space="preserve">CV2608-011PNB2000308</t>
        </is>
      </c>
      <c r="I17" s="0" t="inlineStr">
        <is>
          <t xml:space="preserve">2000308</t>
        </is>
      </c>
      <c r="J17" s="0" t="inlineStr">
        <is>
          <t xml:space="preserve">JUDPHILAN FOODS CORP.-CEBU</t>
        </is>
      </c>
      <c r="K17" s="3">
        <v>46239</v>
      </c>
      <c r="L17" s="2">
        <v>1075999.00</v>
      </c>
      <c r="M17" s="3">
        <v>46239</v>
      </c>
      <c r="N17" s="0" t="inlineStr">
        <is>
          <t xml:space="preserve">12190</t>
        </is>
      </c>
      <c r="O17" s="3">
        <v>46286</v>
      </c>
      <c r="P17" s="0" t="inlineStr">
        <is>
          <t xml:space="preserve">12225</t>
        </is>
      </c>
      <c r="Q17" s="0" t="inlineStr">
        <is>
          <t xml:space="preserve">VOIDED - CASH ADVANCE REVERSED</t>
        </is>
      </c>
      <c r="R17" s="0" t="inlineStr">
        <is>
          <t xml:space="preserve">2026-08</t>
        </is>
      </c>
      <c r="S17" s="0" t="inlineStr">
        <is>
          <t xml:space="preserve">2026-09</t>
        </is>
      </c>
      <c r="T17" s="0"/>
      <c r="U17" s="0"/>
    </row>
    <row r="18">
      <c r="A18" s="0" t="inlineStr">
        <is>
          <t xml:space="preserve">101020111</t>
        </is>
      </c>
      <c r="B18" s="0" t="inlineStr">
        <is>
          <t xml:space="preserve">CASH IN BANK - PNB PESO</t>
        </is>
      </c>
      <c r="C18" s="0" t="inlineStr">
        <is>
          <t xml:space="preserve">Outstanding check</t>
        </is>
      </c>
      <c r="D18" s="8">
        <v>5933</v>
      </c>
      <c r="E18" s="0" t="inlineStr">
        <is>
          <t xml:space="preserve">CASH-ADVANCE</t>
        </is>
      </c>
      <c r="F18" s="0" t="inlineStr">
        <is>
          <t xml:space="preserve">37271</t>
        </is>
      </c>
      <c r="G18" s="0" t="inlineStr">
        <is>
          <t xml:space="preserve">895</t>
        </is>
      </c>
      <c r="H18" s="0" t="inlineStr">
        <is>
          <t xml:space="preserve">CV2609-035PNB2000355</t>
        </is>
      </c>
      <c r="I18" s="0" t="inlineStr">
        <is>
          <t xml:space="preserve">2000355</t>
        </is>
      </c>
      <c r="J18" s="0" t="inlineStr">
        <is>
          <t xml:space="preserve">JUDPHILAN FOODS CORP.-CEBU</t>
        </is>
      </c>
      <c r="K18" s="3">
        <v>46273</v>
      </c>
      <c r="L18" s="2">
        <v>1001999.00</v>
      </c>
      <c r="M18" s="3">
        <v>46273</v>
      </c>
      <c r="N18" s="0" t="inlineStr">
        <is>
          <t xml:space="preserve">19812</t>
        </is>
      </c>
      <c r="O18" s="3">
        <v>46301</v>
      </c>
      <c r="P18" s="0" t="inlineStr">
        <is>
          <t xml:space="preserve">19813</t>
        </is>
      </c>
      <c r="Q18" s="0" t="inlineStr">
        <is>
          <t xml:space="preserve">VOIDED - CASH ADVANCE REVERSED</t>
        </is>
      </c>
      <c r="R18" s="0" t="inlineStr">
        <is>
          <t xml:space="preserve">2026-09</t>
        </is>
      </c>
      <c r="S18" s="0" t="inlineStr">
        <is>
          <t xml:space="preserve">2026-10</t>
        </is>
      </c>
      <c r="T18" s="0"/>
      <c r="U18" s="0"/>
    </row>
    <row r="19">
      <c r="A19" s="0" t="inlineStr">
        <is>
          <t xml:space="preserve">101020112</t>
        </is>
      </c>
      <c r="B19" s="0" t="inlineStr">
        <is>
          <t xml:space="preserve">CASH IN BANK - PNB PESO2</t>
        </is>
      </c>
      <c r="C19" s="0" t="inlineStr">
        <is>
          <t xml:space="preserve">Deposit in transit</t>
        </is>
      </c>
      <c r="D19" s="8">
        <v>810</v>
      </c>
      <c r="E19" s="0" t="inlineStr">
        <is>
          <t xml:space="preserve">CASH-ADVANCE</t>
        </is>
      </c>
      <c r="F19" s="0" t="inlineStr">
        <is>
          <t xml:space="preserve">27019</t>
        </is>
      </c>
      <c r="G19" s="0" t="inlineStr">
        <is>
          <t xml:space="preserve">670</t>
        </is>
      </c>
      <c r="H19" s="0" t="inlineStr">
        <is>
          <t xml:space="preserve">CV2608-011PNB2000308</t>
        </is>
      </c>
      <c r="I19" s="0" t="inlineStr">
        <is>
          <t xml:space="preserve">2000308</t>
        </is>
      </c>
      <c r="J19" s="0" t="inlineStr">
        <is>
          <t xml:space="preserve">JUDPHILAN FOODS CORP.-CEBU</t>
        </is>
      </c>
      <c r="K19" s="3">
        <v>46239</v>
      </c>
      <c r="L19" s="2">
        <v>1075999.00</v>
      </c>
      <c r="M19" s="3">
        <v>46239</v>
      </c>
      <c r="N19" s="0" t="inlineStr">
        <is>
          <t xml:space="preserve">12190</t>
        </is>
      </c>
      <c r="O19" s="3">
        <v>46286</v>
      </c>
      <c r="P19" s="0" t="inlineStr">
        <is>
          <t xml:space="preserve">12225</t>
        </is>
      </c>
      <c r="Q19" s="0" t="inlineStr">
        <is>
          <t xml:space="preserve">VOIDED - CASH ADVANCE REVERSED</t>
        </is>
      </c>
      <c r="R19" s="0" t="inlineStr">
        <is>
          <t xml:space="preserve">2026-08</t>
        </is>
      </c>
      <c r="S19" s="0" t="inlineStr">
        <is>
          <t xml:space="preserve">2026-09</t>
        </is>
      </c>
      <c r="T19" s="0"/>
      <c r="U19" s="0"/>
    </row>
    <row r="20">
      <c r="A20" s="0" t="inlineStr">
        <is>
          <t xml:space="preserve">101020112</t>
        </is>
      </c>
      <c r="B20" s="0" t="inlineStr">
        <is>
          <t xml:space="preserve">CASH IN BANK - PNB PESO2</t>
        </is>
      </c>
      <c r="C20" s="0" t="inlineStr">
        <is>
          <t xml:space="preserve">Deposit in transit</t>
        </is>
      </c>
      <c r="D20" s="8">
        <v>5934</v>
      </c>
      <c r="E20" s="0" t="inlineStr">
        <is>
          <t xml:space="preserve">CASH-ADVANCE</t>
        </is>
      </c>
      <c r="F20" s="0" t="inlineStr">
        <is>
          <t xml:space="preserve">37271</t>
        </is>
      </c>
      <c r="G20" s="0" t="inlineStr">
        <is>
          <t xml:space="preserve">895</t>
        </is>
      </c>
      <c r="H20" s="0" t="inlineStr">
        <is>
          <t xml:space="preserve">CV2609-035PNB2000355</t>
        </is>
      </c>
      <c r="I20" s="0" t="inlineStr">
        <is>
          <t xml:space="preserve">2000355</t>
        </is>
      </c>
      <c r="J20" s="0" t="inlineStr">
        <is>
          <t xml:space="preserve">JUDPHILAN FOODS CORP.-CEBU</t>
        </is>
      </c>
      <c r="K20" s="3">
        <v>46273</v>
      </c>
      <c r="L20" s="2">
        <v>1001999.00</v>
      </c>
      <c r="M20" s="3">
        <v>46273</v>
      </c>
      <c r="N20" s="0" t="inlineStr">
        <is>
          <t xml:space="preserve">19812</t>
        </is>
      </c>
      <c r="O20" s="3">
        <v>46301</v>
      </c>
      <c r="P20" s="0" t="inlineStr">
        <is>
          <t xml:space="preserve">19813</t>
        </is>
      </c>
      <c r="Q20" s="0" t="inlineStr">
        <is>
          <t xml:space="preserve">VOIDED - CASH ADVANCE REVERSED</t>
        </is>
      </c>
      <c r="R20" s="0" t="inlineStr">
        <is>
          <t xml:space="preserve">2026-09</t>
        </is>
      </c>
      <c r="S20" s="0" t="inlineStr">
        <is>
          <t xml:space="preserve">2026-10</t>
        </is>
      </c>
      <c r="T20" s="0"/>
      <c r="U20" s="0"/>
    </row>
    <row r="22">
      <c r="A22" s="4" t="inlineStr">
        <is>
          <t xml:space="preserve">TOTAL (follows the filter)</t>
        </is>
      </c>
      <c r="B22" s="4"/>
      <c r="C22" s="4"/>
      <c r="D22" s="4">
        <f>SUBTOTAL(9,D5:D20)</f>
      </c>
      <c r="E22" s="4"/>
      <c r="F22" s="4"/>
      <c r="G22" s="4"/>
      <c r="H22" s="4"/>
      <c r="I22" s="4"/>
      <c r="J22" s="4"/>
      <c r="K22" s="4"/>
      <c r="L22" s="5">
        <f>SUBTOTAL(9,L5:L20)</f>
      </c>
      <c r="M22" s="4"/>
      <c r="N22" s="4"/>
      <c r="O22" s="4"/>
      <c r="P22" s="4"/>
      <c r="Q22" s="4"/>
      <c r="R22" s="4"/>
      <c r="S22" s="4"/>
      <c r="T22" s="4"/>
      <c r="U22" s="4"/>
    </row>
  </sheetData>
  <autoFilter ref="A4:U20"/>
  <pageSetup orientation="landscape"/>
</worksheet>
</file>